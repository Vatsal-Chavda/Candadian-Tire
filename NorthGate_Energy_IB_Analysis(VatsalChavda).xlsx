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DCF Model" sheetId="2" r:id="rId6"/>
    <sheet state="visible" name="Trading Comps" sheetId="3" r:id="rId7"/>
    <sheet state="visible" name="Precedent Trans" sheetId="4" r:id="rId8"/>
    <sheet state="visible" name="LBO Model" sheetId="5" r:id="rId9"/>
    <sheet state="visible" name="Merger Model" sheetId="6" r:id="rId10"/>
    <sheet state="visible" name="Football Field" sheetId="7" r:id="rId11"/>
  </sheets>
  <definedNames/>
  <calcPr/>
</workbook>
</file>

<file path=xl/sharedStrings.xml><?xml version="1.0" encoding="utf-8"?>
<sst xmlns="http://schemas.openxmlformats.org/spreadsheetml/2006/main" count="369" uniqueCount="338">
  <si>
    <t>NORTHGATE ENERGY CORPORATION</t>
  </si>
  <si>
    <t>Project Atlas  |  Comprehensive Investment Banking Analysis</t>
  </si>
  <si>
    <t xml:space="preserve">  Prepared for Educational Review  |  UBS Global Banking Canada  |  Toronto, Ontario</t>
  </si>
  <si>
    <t>Tab</t>
  </si>
  <si>
    <t>Section</t>
  </si>
  <si>
    <t>Sheet Name</t>
  </si>
  <si>
    <t>Description</t>
  </si>
  <si>
    <t>I</t>
  </si>
  <si>
    <t>Discounted Cash Flow (DCF) Valuation</t>
  </si>
  <si>
    <t>DCF Model</t>
  </si>
  <si>
    <t>Full 5-year projection, WACC build, terminal value, sensitivity</t>
  </si>
  <si>
    <t>II</t>
  </si>
  <si>
    <t>Comparable Company Analysis (Trading Comps)</t>
  </si>
  <si>
    <t>Trading Comps</t>
  </si>
  <si>
    <t>EV/EBITDA, P/E, EV/Revenue benchmarking vs. peer universe</t>
  </si>
  <si>
    <t>III</t>
  </si>
  <si>
    <t>Precedent Transaction Analysis</t>
  </si>
  <si>
    <t>Precedent Trans</t>
  </si>
  <si>
    <t>Control premium analysis across 12 closed M&amp;A transactions</t>
  </si>
  <si>
    <t>IV</t>
  </si>
  <si>
    <t>Leveraged Buyout (LBO) Analysis</t>
  </si>
  <si>
    <t>LBO Model</t>
  </si>
  <si>
    <t>5-year LBO, debt schedule, returns waterfall, IRR/MOIC</t>
  </si>
  <si>
    <t>V</t>
  </si>
  <si>
    <t>M&amp;A Merger Model — Accretion / Dilution</t>
  </si>
  <si>
    <t>Merger Model</t>
  </si>
  <si>
    <t>All-stock / all-cash / blended deal structures, EPS bridge</t>
  </si>
  <si>
    <t>VI</t>
  </si>
  <si>
    <t>Football Field Valuation Summary</t>
  </si>
  <si>
    <t>Football Field</t>
  </si>
  <si>
    <t>Consolidated valuation bridge across all methodologies</t>
  </si>
  <si>
    <t>DISCLAIMER: This financial model has been prepared for illustrative and educational purposes only. All company names, financial figures, and projections are hypothetical. This does not constitute investment advice or a solicitation to buy or sell any security.</t>
  </si>
  <si>
    <t>NORTHGATE ENERGY CORPORATION  —  Discounted Cash Flow (DCF) Valuation</t>
  </si>
  <si>
    <t>Project Atlas  |  Fiscal Year End: December 31  |  Currency: CAD $mm  |  Prepared by: UBS Global Banking Canada</t>
  </si>
  <si>
    <t>● Blue = Hardcoded Input</t>
  </si>
  <si>
    <t>● Black = Formula/Calculated</t>
  </si>
  <si>
    <t>● Green = Cross-Sheet Link</t>
  </si>
  <si>
    <t>SECTION 1 — KEY ASSUMPTIONS  (Blue = Input, change to run scenarios)</t>
  </si>
  <si>
    <t>Revenue Growth Rate (%)</t>
  </si>
  <si>
    <t>EBITDA Margin (%)</t>
  </si>
  <si>
    <t>D&amp;A as % of Revenue (%)</t>
  </si>
  <si>
    <t>Capex as % of Revenue (%)</t>
  </si>
  <si>
    <t>Change in Net Working Capital as % of Rev Chg (%)</t>
  </si>
  <si>
    <t>Tax Rate (%)</t>
  </si>
  <si>
    <t>Base Year Revenue (2023A, CAD $mm)</t>
  </si>
  <si>
    <t>SECTION 2 — PROJECTED INCOME STATEMENT &amp; FREE CASH FLOW  (CAD $mm)</t>
  </si>
  <si>
    <t>Item</t>
  </si>
  <si>
    <t>FY2024E</t>
  </si>
  <si>
    <t>FY2025E</t>
  </si>
  <si>
    <t>FY2026E</t>
  </si>
  <si>
    <t>FY2027E</t>
  </si>
  <si>
    <t>FY2028E</t>
  </si>
  <si>
    <t>CAGR</t>
  </si>
  <si>
    <t>Revenue</t>
  </si>
  <si>
    <t xml:space="preserve">  EBITDA</t>
  </si>
  <si>
    <t xml:space="preserve">  EBITDA Margin (%)</t>
  </si>
  <si>
    <t xml:space="preserve">  Less: Depreciation &amp; Amortization (D&amp;A)</t>
  </si>
  <si>
    <t xml:space="preserve">  EBIT (Operating Income)</t>
  </si>
  <si>
    <t xml:space="preserve">  Less: Taxes (@EBIT * Tax Rate)</t>
  </si>
  <si>
    <t xml:space="preserve">  NOPAT (Net Operating Profit After Tax)</t>
  </si>
  <si>
    <t>FREE CASH FLOW BRIDGE</t>
  </si>
  <si>
    <t xml:space="preserve">  Add Back: D&amp;A</t>
  </si>
  <si>
    <t xml:space="preserve">  Less: Capital Expenditures (Capex)</t>
  </si>
  <si>
    <t xml:space="preserve">  Less: Increase in Net Working Capital (NWC)</t>
  </si>
  <si>
    <t xml:space="preserve">  Unlevered Free Cash Flow (UFCF)</t>
  </si>
  <si>
    <t>SECTION 3 — WACC BUILD  (Weighted Average Cost of Capital)</t>
  </si>
  <si>
    <t>Risk-Free Rate (Rf) — Avg. 10-Yr GoC Bond Yield</t>
  </si>
  <si>
    <t>Source: Bank of Canada, Govt of Canada 10-Yr benchmark, May 2024</t>
  </si>
  <si>
    <t>Equity Risk Premium (ERP)</t>
  </si>
  <si>
    <t>Source: Damodaran, Canada ERP Estimate 2024</t>
  </si>
  <si>
    <t>Levered Beta (β) — Re-levered at target capital structure</t>
  </si>
  <si>
    <t>Source: Bloomberg 5-Yr weekly beta, re-levered: β_L = β_U×(1+(1-t)×D/E)</t>
  </si>
  <si>
    <t>Size/Liquidity Premium (Ps)</t>
  </si>
  <si>
    <t>Source: Duff &amp; Phelps Size Study, Decile 5</t>
  </si>
  <si>
    <t>Specific Company Risk Premium (α)</t>
  </si>
  <si>
    <t>Source: Analyst judgment — execution/commodity risk</t>
  </si>
  <si>
    <t>Cost of Equity (Ke) = Rf + β×ERP + Ps + α</t>
  </si>
  <si>
    <t xml:space="preserve"> =capm formula (calculated)</t>
  </si>
  <si>
    <t>Pre-Tax Cost of Debt (Kd)</t>
  </si>
  <si>
    <t>Source: Bloomberg, NGL 2029 Senior Notes YTM, May 2024</t>
  </si>
  <si>
    <t>Tax Rate</t>
  </si>
  <si>
    <t xml:space="preserve"> =linked from assumptions above</t>
  </si>
  <si>
    <t>After-Tax Cost of Debt (Kd×(1-t))</t>
  </si>
  <si>
    <t xml:space="preserve"> =calculated</t>
  </si>
  <si>
    <t>Weight of Equity (E/(D+E))</t>
  </si>
  <si>
    <t>Source: Target capital structure based on sector median</t>
  </si>
  <si>
    <t>Weight of Debt (D/(D+E))</t>
  </si>
  <si>
    <t xml:space="preserve"> =1 - weight of equity (calculated)</t>
  </si>
  <si>
    <t>WACC = Ke×We + Kd(1-t)×Wd</t>
  </si>
  <si>
    <t xml:space="preserve"> =calculated — primary discount rate for DCF</t>
  </si>
  <si>
    <t>SECTION 4 — TERMINAL VALUE &amp; DCF VALUATION</t>
  </si>
  <si>
    <t>Terminal Growth Rate (g) — Conservative perpetuity growth</t>
  </si>
  <si>
    <t>Terminal Year UFCF (FY2028E)</t>
  </si>
  <si>
    <t>Terminal Value (TV) = UFCF_T × (1+g) / (WACC - g)</t>
  </si>
  <si>
    <t>Discount Factor — Year 1  [=1/(1+WACC)^1]</t>
  </si>
  <si>
    <t>Discount Factor — Year 2  [=1/(1+WACC)^2]</t>
  </si>
  <si>
    <t>Discount Factor — Year 3  [=1/(1+WACC)^3]</t>
  </si>
  <si>
    <t>Discount Factor — Year 4  [=1/(1+WACC)^4]</t>
  </si>
  <si>
    <t>Discount Factor — Year 5  [=1/(1+WACC)^5]</t>
  </si>
  <si>
    <t>PV of Forecast Period FCFs (Sum of PV years 1-5)</t>
  </si>
  <si>
    <t>PV of Terminal Value [=TV / (1+WACC)^5]</t>
  </si>
  <si>
    <t>Enterprise Value (Implied)</t>
  </si>
  <si>
    <t>Less: Total Debt (CAD $mm)</t>
  </si>
  <si>
    <t>Add: Cash &amp; Cash Equivalents (CAD $mm)</t>
  </si>
  <si>
    <t>Less: Minority Interest (CAD $mm)</t>
  </si>
  <si>
    <t>Equity Value (Implied)</t>
  </si>
  <si>
    <t>Diluted Shares Outstanding (mm)</t>
  </si>
  <si>
    <t>Implied Share Price (CAD)</t>
  </si>
  <si>
    <t>SECTION 5 — SENSITIVITY ANALYSIS: Implied Share Price  (WACC vs. Terminal Growth Rate)</t>
  </si>
  <si>
    <t>↓ WACC  /  Terminal Growth Rate →</t>
  </si>
  <si>
    <t>NORTHGATE ENERGY CORPORATION  —  Comparable Company Analysis (Trading Comps)</t>
  </si>
  <si>
    <t>Peer Universe: Canadian &amp; U.S. Mid-Cap Energy Infrastructure  |  Market Data as of May 2024  |  Currency: CAD $mm</t>
  </si>
  <si>
    <t>Company</t>
  </si>
  <si>
    <t>Ticker</t>
  </si>
  <si>
    <t>Mkt Cap ($mm)</t>
  </si>
  <si>
    <t>Net Debt ($mm)</t>
  </si>
  <si>
    <t>Enterprise Value ($mm)</t>
  </si>
  <si>
    <t>Revenue LTM</t>
  </si>
  <si>
    <t>EBITDA LTM</t>
  </si>
  <si>
    <t>EV/Revenue</t>
  </si>
  <si>
    <t>EV/EBITDA</t>
  </si>
  <si>
    <t>P/E (NTM)</t>
  </si>
  <si>
    <t>EBITDA Margin</t>
  </si>
  <si>
    <t>Net Debt/EBITDA</t>
  </si>
  <si>
    <t>Pembina Pipeline Corp.</t>
  </si>
  <si>
    <t>PPL CN</t>
  </si>
  <si>
    <t>TC Energy Corporation</t>
  </si>
  <si>
    <t>TRP CN</t>
  </si>
  <si>
    <t>Enbridge Inc.</t>
  </si>
  <si>
    <t>ENB CN</t>
  </si>
  <si>
    <t>Gibson Energy Inc.</t>
  </si>
  <si>
    <t>GEI CN</t>
  </si>
  <si>
    <t>Keyera Corp.</t>
  </si>
  <si>
    <t>KEY CN</t>
  </si>
  <si>
    <t>Inter Pipeline Ltd.</t>
  </si>
  <si>
    <t>IPL CN</t>
  </si>
  <si>
    <t>Targa Resources Corp.</t>
  </si>
  <si>
    <t>TRGP US</t>
  </si>
  <si>
    <t>Crestwood Equity Partners</t>
  </si>
  <si>
    <t>CEQP US</t>
  </si>
  <si>
    <t>Summit Midstream Partners</t>
  </si>
  <si>
    <t>SMLP US</t>
  </si>
  <si>
    <t>25th Percentile</t>
  </si>
  <si>
    <t>Median</t>
  </si>
  <si>
    <t>75th Percentile</t>
  </si>
  <si>
    <t>Mean</t>
  </si>
  <si>
    <t>NORTHGATE IMPLIED VALUATION — Based on Peer Multiples  (CAD $mm)</t>
  </si>
  <si>
    <t>NorthGate LTM Revenue ($mm)</t>
  </si>
  <si>
    <t>NorthGate LTM EBITDA ($mm)</t>
  </si>
  <si>
    <t>NorthGate Net Debt ($mm)</t>
  </si>
  <si>
    <t>NorthGate Shares Outstanding (mm)</t>
  </si>
  <si>
    <t>Methodology</t>
  </si>
  <si>
    <t>Multiple Applied</t>
  </si>
  <si>
    <t>Implied EV</t>
  </si>
  <si>
    <t>Less: Net Debt</t>
  </si>
  <si>
    <t>Implied Equity Value</t>
  </si>
  <si>
    <t>Implied Share Price</t>
  </si>
  <si>
    <t>EV/EBITDA — 25th Pct</t>
  </si>
  <si>
    <t>EV/EBITDA — Median</t>
  </si>
  <si>
    <t>EV/EBITDA — 75th Pct</t>
  </si>
  <si>
    <t>EV/Revenue — Median</t>
  </si>
  <si>
    <t>NORTHGATE ENERGY CORPORATION  —  Precedent Transaction Analysis</t>
  </si>
  <si>
    <t>Selected M&amp;A Transactions: Canadian &amp; U.S. Energy Infrastructure (2018–2024)  |  Control Premium Analysis  |  Currency: CAD $mm</t>
  </si>
  <si>
    <t>Target</t>
  </si>
  <si>
    <t>Acquiror</t>
  </si>
  <si>
    <t>Ann. Date</t>
  </si>
  <si>
    <t>Close Date</t>
  </si>
  <si>
    <t>Target Rev ($mm)</t>
  </si>
  <si>
    <t>Target EBITDA ($mm)</t>
  </si>
  <si>
    <t>Transaction EV ($mm)</t>
  </si>
  <si>
    <t>Control Premium</t>
  </si>
  <si>
    <t>Strategic/Financial</t>
  </si>
  <si>
    <t>Spectra Energy</t>
  </si>
  <si>
    <t>Enbridge</t>
  </si>
  <si>
    <t>Dec-2016</t>
  </si>
  <si>
    <t>Feb-2017</t>
  </si>
  <si>
    <t>Strategic</t>
  </si>
  <si>
    <t>Veresen Inc.</t>
  </si>
  <si>
    <t>Pembina Pipeline</t>
  </si>
  <si>
    <t>May-2017</t>
  </si>
  <si>
    <t>Oct-2017</t>
  </si>
  <si>
    <t>Midcoast Energy</t>
  </si>
  <si>
    <t>Crestwood</t>
  </si>
  <si>
    <t>Sep-2018</t>
  </si>
  <si>
    <t>Jan-2019</t>
  </si>
  <si>
    <t>TECO Energy Canada</t>
  </si>
  <si>
    <t>AltaGas</t>
  </si>
  <si>
    <t>Aug-2019</t>
  </si>
  <si>
    <t>Mar-2020</t>
  </si>
  <si>
    <t>Gibson Energy Infra.</t>
  </si>
  <si>
    <t>Brookfield Infra.</t>
  </si>
  <si>
    <t>Jan-2020</t>
  </si>
  <si>
    <t>Jun-2020</t>
  </si>
  <si>
    <t>Financial</t>
  </si>
  <si>
    <t>Husky Midstream</t>
  </si>
  <si>
    <t>Cenovus Energy</t>
  </si>
  <si>
    <t>Jan-2021</t>
  </si>
  <si>
    <t>Feb-2021</t>
  </si>
  <si>
    <t>Feb-2022</t>
  </si>
  <si>
    <t>Kinder Morgan Canada</t>
  </si>
  <si>
    <t>Pembina</t>
  </si>
  <si>
    <t>Jan-2022</t>
  </si>
  <si>
    <t>Mar-2022</t>
  </si>
  <si>
    <t>Plains Midstream Can.</t>
  </si>
  <si>
    <t>Jun-2022</t>
  </si>
  <si>
    <t>Dec-2022</t>
  </si>
  <si>
    <t>Summit Midstream</t>
  </si>
  <si>
    <t>Energy Transfer</t>
  </si>
  <si>
    <t>Mar-2023</t>
  </si>
  <si>
    <t>Aug-2023</t>
  </si>
  <si>
    <t>Wolf Midstream</t>
  </si>
  <si>
    <t>Canadian Natural</t>
  </si>
  <si>
    <t>Jan-2024</t>
  </si>
  <si>
    <t>Nova Gas Transm.</t>
  </si>
  <si>
    <t>TC Energy (Private)</t>
  </si>
  <si>
    <t>Oct-2023</t>
  </si>
  <si>
    <t>Mar-2024</t>
  </si>
  <si>
    <t>NORTHGATE ENERGY CORPORATION  —  Leveraged Buyout (LBO) Analysis</t>
  </si>
  <si>
    <t>Sponsor: Brookfield Infrastructure Partners  |  Acquisition Year: 2024  |  Exit Year: 2029  |  Currency: CAD $mm</t>
  </si>
  <si>
    <t>SECTION 1 — DEAL ASSUMPTIONS &amp; ENTRY STRUCTURE</t>
  </si>
  <si>
    <t>LBO Entry Year</t>
  </si>
  <si>
    <t>LBO Exit Year</t>
  </si>
  <si>
    <t>Holding Period (Years)</t>
  </si>
  <si>
    <t>Entry EBITDA (LTM, CAD $mm)</t>
  </si>
  <si>
    <t>Entry EV/EBITDA Multiple (x)</t>
  </si>
  <si>
    <t>Entry Enterprise Value (CAD $mm)</t>
  </si>
  <si>
    <t>Senior Secured Term Loan — Amount ($mm)</t>
  </si>
  <si>
    <t>Senior Secured Term Loan — Rate (%)</t>
  </si>
  <si>
    <t>Senior Notes (High Yield) — Amount ($mm)</t>
  </si>
  <si>
    <t>Senior Notes (High Yield) — Rate (%)</t>
  </si>
  <si>
    <t>Total Debt at Close ($mm)</t>
  </si>
  <si>
    <t>Transaction Fees &amp; Expenses ($mm)</t>
  </si>
  <si>
    <t>Total Uses of Capital ($mm)</t>
  </si>
  <si>
    <t>Equity Contribution ($mm)</t>
  </si>
  <si>
    <t>Equity % of Total Capitalization</t>
  </si>
  <si>
    <t>SECTION 2 — DEBT SCHEDULE &amp; INTEREST EXPENSE  (CAD $mm)</t>
  </si>
  <si>
    <t>FY2024</t>
  </si>
  <si>
    <t>FY2025</t>
  </si>
  <si>
    <t>FY2026</t>
  </si>
  <si>
    <t>FY2027</t>
  </si>
  <si>
    <t>FY2028</t>
  </si>
  <si>
    <t>FY2029</t>
  </si>
  <si>
    <t>Revenue Growth (%)</t>
  </si>
  <si>
    <t>Revenue ($mm)</t>
  </si>
  <si>
    <t>EBITDA ($mm)</t>
  </si>
  <si>
    <t>TL Mandatory Amort. (5%/yr)</t>
  </si>
  <si>
    <t>TL Balance (BoP)</t>
  </si>
  <si>
    <t>TL Interest Expense</t>
  </si>
  <si>
    <t>Senior Notes Balance (Fixed)</t>
  </si>
  <si>
    <t>Senior Notes Interest Expense</t>
  </si>
  <si>
    <t>Total Interest Expense</t>
  </si>
  <si>
    <t>Total Debt (EoP)</t>
  </si>
  <si>
    <t>Net Leverage (Total Debt / EBITDA)</t>
  </si>
  <si>
    <t>SECTION 3 — EXIT &amp; RETURNS ANALYSIS</t>
  </si>
  <si>
    <t>Exit EV/EBITDA Multiple (x)</t>
  </si>
  <si>
    <t>Exit Year EBITDA ($mm)</t>
  </si>
  <si>
    <t>Exit Enterprise Value ($mm)</t>
  </si>
  <si>
    <t>Less: Remaining Debt at Exit ($mm)</t>
  </si>
  <si>
    <t>Equity Proceeds to Sponsor ($mm)</t>
  </si>
  <si>
    <t>Equity Invested ($mm)</t>
  </si>
  <si>
    <t>Money-on-Money Multiple (MOIC)</t>
  </si>
  <si>
    <t>IRR = (MOIC)^(1/HP) - 1</t>
  </si>
  <si>
    <t>IRR SENSITIVITY: Exit Multiple (rows) vs. Revenue CAGR (cols)</t>
  </si>
  <si>
    <t>Exit Mult \ Rev CAGR</t>
  </si>
  <si>
    <t>NORTHGATE ENERGY CORP. (Target)  ×  PEMBINA PIPELINE CORP. (Acquiror)  —  M&amp;A Merger / Accretion-Dilution Analysis</t>
  </si>
  <si>
    <t>Illustrative Acquisition of NorthGate Energy by Pembina Pipeline  |  All-Cash / All-Stock / Blended Scenarios  |  CAD $mm</t>
  </si>
  <si>
    <t>SECTION 1 — STANDALONE FINANCIALS  (NTM Estimates, CAD $mm)</t>
  </si>
  <si>
    <t>Acquiror (Pembina)</t>
  </si>
  <si>
    <t>Target (NorthGate)</t>
  </si>
  <si>
    <t>Revenue (NTM, $mm)</t>
  </si>
  <si>
    <t>EBITDA (NTM, $mm)</t>
  </si>
  <si>
    <t>D&amp;A ($mm)</t>
  </si>
  <si>
    <t>EBIT ($mm)</t>
  </si>
  <si>
    <t>Interest Expense ($mm)</t>
  </si>
  <si>
    <t>EBT ($mm)</t>
  </si>
  <si>
    <t>Taxes (26.5%)</t>
  </si>
  <si>
    <t>Net Income ($mm)</t>
  </si>
  <si>
    <t>Diluted Shares (mm)</t>
  </si>
  <si>
    <t>EPS (NTM, CAD)</t>
  </si>
  <si>
    <t>Current Share Price (CAD)</t>
  </si>
  <si>
    <t>Market Cap ($mm)</t>
  </si>
  <si>
    <t>P/E Multiple (NTM)</t>
  </si>
  <si>
    <t>EV/EBITDA Multiple (NTM)</t>
  </si>
  <si>
    <t>SECTION 2 — DEAL STRUCTURE SCENARIOS  (CAD $mm)</t>
  </si>
  <si>
    <t>Deal Parameter</t>
  </si>
  <si>
    <t>All-Cash</t>
  </si>
  <si>
    <t>All-Stock</t>
  </si>
  <si>
    <t>Blended (50/50)</t>
  </si>
  <si>
    <t>Offer Price per Share (CAD)</t>
  </si>
  <si>
    <t>Control Premium (%)</t>
  </si>
  <si>
    <t>Total Equity Consideration ($mm)</t>
  </si>
  <si>
    <t>% Cash</t>
  </si>
  <si>
    <t>% Stock</t>
  </si>
  <si>
    <t>Cash Consideration ($mm)</t>
  </si>
  <si>
    <t>Stock Consideration ($mm)</t>
  </si>
  <si>
    <t>New Shares Issued by Acquiror (mm)</t>
  </si>
  <si>
    <t>Financing: New Debt Raised ($mm)</t>
  </si>
  <si>
    <t>Assumed Debt (Target, $mm)</t>
  </si>
  <si>
    <t>Transaction Fees ($mm)</t>
  </si>
  <si>
    <t>Total Transaction Value ($mm)</t>
  </si>
  <si>
    <t>SECTION 3 — PRO FORMA EPS &amp; ACCRETION / DILUTION ANALYSIS</t>
  </si>
  <si>
    <t>Pro Forma Item</t>
  </si>
  <si>
    <t>Acquiror Standalone Net Income ($mm)</t>
  </si>
  <si>
    <t>Add: Target Net Income ($mm)</t>
  </si>
  <si>
    <t>Less: Incremental Interest on New Debt ($mm)</t>
  </si>
  <si>
    <t>Less: Tax Shield on Incremental Interest</t>
  </si>
  <si>
    <t>Pro Forma Combined Net Income ($mm)</t>
  </si>
  <si>
    <t>Acquiror Standalone Shares (mm)</t>
  </si>
  <si>
    <t>Add: New Shares Issued to Target ($mm)</t>
  </si>
  <si>
    <t>Pro Forma Total Shares Outstanding (mm)</t>
  </si>
  <si>
    <t>Pro Forma EPS (CAD)</t>
  </si>
  <si>
    <t>Acquiror Standalone EPS (CAD)</t>
  </si>
  <si>
    <t>EPS Accretion / (Dilution) ($)</t>
  </si>
  <si>
    <t>EPS Accretion / (Dilution) (%)</t>
  </si>
  <si>
    <t>NORTHGATE ENERGY CORPORATION  —  Football Field Valuation Summary</t>
  </si>
  <si>
    <t>Consolidated Valuation Summary Across All Methodologies  |  Currency: CAD  |  Per Share Basis  |  Prepared: May 2024</t>
  </si>
  <si>
    <t>Valuation Methodology</t>
  </si>
  <si>
    <t>Low (CAD/sh)</t>
  </si>
  <si>
    <t>High (CAD/sh)</t>
  </si>
  <si>
    <t>Mid-Point</t>
  </si>
  <si>
    <t>Commentary</t>
  </si>
  <si>
    <t>52-Week Trading Range</t>
  </si>
  <si>
    <t>Public market price range; reference only (no fundamental basis)</t>
  </si>
  <si>
    <t>Analyst Price Targets (Consensus)</t>
  </si>
  <si>
    <t>Bloomberg consensus 12-month target range — 14 sell-side analysts</t>
  </si>
  <si>
    <t>DCF Valuation (Base Case)</t>
  </si>
  <si>
    <t>WACC 8.25%–10.50%, TGR 2.0%–3.0% — see DCF Model tab</t>
  </si>
  <si>
    <t>Comparable Company Analysis</t>
  </si>
  <si>
    <t>EV/EBITDA 25th–75th pctl of peer group — see Trading Comps tab</t>
  </si>
  <si>
    <t>EV/EBITDA 25th–75th pctl of closed transactions — see Precedent Trans tab</t>
  </si>
  <si>
    <t>LBO Analysis (Sponsor Floor)</t>
  </si>
  <si>
    <t>Min price yielding 20%+ IRR at 12.5x exit — see LBO Model tab</t>
  </si>
  <si>
    <t>Current Share Price</t>
  </si>
  <si>
    <t>Market close May 2024 — reference benchmark</t>
  </si>
  <si>
    <t>Offer Price (All-Cash Scenario)</t>
  </si>
  <si>
    <t>Implied by merger model offer price — see Merger Model tab</t>
  </si>
  <si>
    <t>VALUATION SUMMARY — BOARD PRESENTATION RANGE</t>
  </si>
  <si>
    <t>Based on the foregoing analysis, the fairness range for NorthGate Energy Corporation is estimated at CAD $24.50 – $42.50 per share on a fully diluted basis. The DCF mid-point of $31.65 and the Precedent Transaction median of $35.15 suggest NorthGate trades at a discount to intrinsic value. The proposed offer price of CAD $32.50/sh represents a 23.1% control premium to the current unaffected share price of $26.40, which is within the precedent transaction control premium range of 16%–38%.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</si>
</sst>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;\-0.0%;\-"/>
    <numFmt numFmtId="165" formatCode="\$#,##0;&quot;($&quot;#,##0\);\-"/>
    <numFmt numFmtId="166" formatCode="0.00%;\-0.00%;\-"/>
    <numFmt numFmtId="167" formatCode="#,##0.0000;\(#,##0.0000\);\-"/>
    <numFmt numFmtId="168" formatCode="#,##0.0;\(#,##0.0\);\-"/>
    <numFmt numFmtId="169" formatCode="\$#,##0.00;&quot;($&quot;#,##0.00\);\-"/>
    <numFmt numFmtId="170" formatCode="0.0\x"/>
    <numFmt numFmtId="171" formatCode="\$#,##0.000;&quot;($&quot;#,##0.000\);\-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i/>
      <sz val="13.0"/>
      <color rgb="FFAAAAAA"/>
      <name val="Arial"/>
    </font>
    <font>
      <sz val="9.0"/>
      <color rgb="FFCCCCCC"/>
      <name val="Arial"/>
    </font>
    <font>
      <b/>
      <sz val="10.0"/>
      <color rgb="FFFFFFFF"/>
      <name val="Arial"/>
    </font>
    <font>
      <sz val="10.0"/>
      <color rgb="FF0D1B2A"/>
      <name val="Arial"/>
    </font>
    <font>
      <b/>
      <sz val="10.0"/>
      <color rgb="FF0D1B2A"/>
      <name val="Arial"/>
    </font>
    <font>
      <i/>
      <sz val="8.0"/>
      <color rgb="FF888888"/>
      <name val="Arial"/>
    </font>
    <font>
      <b/>
      <sz val="13.0"/>
      <color rgb="FFFFFFFF"/>
      <name val="Arial"/>
    </font>
    <font>
      <i/>
      <sz val="9.0"/>
      <color rgb="FFFFFFFF"/>
      <name val="Arial"/>
    </font>
    <font>
      <b/>
      <sz val="8.0"/>
      <color rgb="FF0000FF"/>
      <name val="Arial"/>
    </font>
    <font>
      <b/>
      <sz val="8.0"/>
      <color rgb="FF000000"/>
      <name val="Arial"/>
    </font>
    <font>
      <b/>
      <sz val="8.0"/>
      <color rgb="FF00800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i/>
      <sz val="8.0"/>
      <color rgb="FF777777"/>
      <name val="Arial"/>
    </font>
    <font>
      <sz val="10.0"/>
      <color rgb="FF008000"/>
      <name val="Arial"/>
    </font>
    <font>
      <b/>
      <sz val="9.0"/>
      <color rgb="FFFFFFFF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i/>
      <sz val="9.0"/>
      <color rgb="FF55555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E60000"/>
        <bgColor rgb="FFE60000"/>
      </patternFill>
    </fill>
    <fill>
      <patternFill patternType="solid">
        <fgColor rgb="FF1A3A5C"/>
        <bgColor rgb="FF1A3A5C"/>
      </patternFill>
    </fill>
    <fill>
      <patternFill patternType="solid">
        <fgColor rgb="FFEBF4FB"/>
        <bgColor rgb="FFEBF4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1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2" fontId="4" numFmtId="0" xfId="0" applyAlignment="1" applyBorder="1" applyFont="1">
      <alignment horizontal="left" shrinkToFit="0" vertical="center" wrapText="0"/>
    </xf>
    <xf borderId="8" fillId="2" fontId="5" numFmtId="0" xfId="0" applyAlignment="1" applyBorder="1" applyFont="1">
      <alignment horizontal="left"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" fillId="3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1" fillId="4" fontId="6" numFmtId="0" xfId="0" applyAlignment="1" applyBorder="1" applyFill="1" applyFont="1">
      <alignment horizontal="center" shrinkToFit="0" vertical="center" wrapText="0"/>
    </xf>
    <xf borderId="11" fillId="5" fontId="7" numFmtId="0" xfId="0" applyAlignment="1" applyBorder="1" applyFill="1" applyFont="1">
      <alignment horizontal="center" shrinkToFit="0" vertical="center" wrapText="0"/>
    </xf>
    <xf borderId="11" fillId="5" fontId="8" numFmtId="0" xfId="0" applyAlignment="1" applyBorder="1" applyFont="1">
      <alignment horizontal="left" shrinkToFit="0" vertical="center" wrapText="0"/>
    </xf>
    <xf borderId="11" fillId="5" fontId="7" numFmtId="0" xfId="0" applyAlignment="1" applyBorder="1" applyFont="1">
      <alignment horizontal="left" shrinkToFit="0" vertical="center" wrapText="0"/>
    </xf>
    <xf borderId="11" fillId="6" fontId="7" numFmtId="0" xfId="0" applyAlignment="1" applyBorder="1" applyFill="1" applyFont="1">
      <alignment horizontal="center" shrinkToFit="0" vertical="center" wrapText="0"/>
    </xf>
    <xf borderId="11" fillId="6" fontId="8" numFmtId="0" xfId="0" applyAlignment="1" applyBorder="1" applyFont="1">
      <alignment horizontal="left" shrinkToFit="0" vertical="center" wrapText="0"/>
    </xf>
    <xf borderId="11" fillId="6" fontId="7" numFmtId="0" xfId="0" applyAlignment="1" applyBorder="1" applyFont="1">
      <alignment horizontal="left" shrinkToFit="0" vertical="center" wrapText="0"/>
    </xf>
    <xf borderId="0" fillId="7" fontId="9" numFmtId="0" xfId="0" applyAlignment="1" applyFill="1" applyFont="1">
      <alignment horizontal="left" shrinkToFit="0" vertical="bottom" wrapText="1"/>
    </xf>
    <xf borderId="8" fillId="2" fontId="10" numFmtId="0" xfId="0" applyAlignment="1" applyBorder="1" applyFont="1">
      <alignment horizontal="left" shrinkToFit="0" vertical="center" wrapText="0"/>
    </xf>
    <xf borderId="8" fillId="4" fontId="11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2" fillId="4" fontId="6" numFmtId="0" xfId="0" applyAlignment="1" applyBorder="1" applyFont="1">
      <alignment horizontal="left" shrinkToFit="0" vertical="center" wrapText="0"/>
    </xf>
    <xf borderId="13" fillId="0" fontId="3" numFmtId="0" xfId="0" applyBorder="1" applyFont="1"/>
    <xf borderId="14" fillId="0" fontId="3" numFmtId="0" xfId="0" applyBorder="1" applyFont="1"/>
    <xf borderId="11" fillId="0" fontId="15" numFmtId="0" xfId="0" applyAlignment="1" applyBorder="1" applyFont="1">
      <alignment horizontal="left" shrinkToFit="0" vertical="center" wrapText="0"/>
    </xf>
    <xf borderId="11" fillId="0" fontId="16" numFmtId="164" xfId="0" applyAlignment="1" applyBorder="1" applyFont="1" applyNumberFormat="1">
      <alignment horizontal="right" shrinkToFit="0" vertical="center" wrapText="0"/>
    </xf>
    <xf borderId="11" fillId="0" fontId="17" numFmtId="0" xfId="0" applyAlignment="1" applyBorder="1" applyFont="1">
      <alignment horizontal="left" shrinkToFit="0" vertical="center" wrapText="0"/>
    </xf>
    <xf borderId="11" fillId="0" fontId="16" numFmtId="165" xfId="0" applyAlignment="1" applyBorder="1" applyFont="1" applyNumberFormat="1">
      <alignment horizontal="right" shrinkToFit="0" vertical="center" wrapText="0"/>
    </xf>
    <xf borderId="11" fillId="8" fontId="18" numFmtId="0" xfId="0" applyAlignment="1" applyBorder="1" applyFill="1" applyFont="1">
      <alignment horizontal="center" shrinkToFit="0" vertical="center" wrapText="0"/>
    </xf>
    <xf borderId="11" fillId="9" fontId="17" numFmtId="0" xfId="0" applyAlignment="1" applyBorder="1" applyFill="1" applyFont="1">
      <alignment horizontal="left" shrinkToFit="0" vertical="center" wrapText="0"/>
    </xf>
    <xf borderId="11" fillId="9" fontId="17" numFmtId="165" xfId="0" applyAlignment="1" applyBorder="1" applyFont="1" applyNumberFormat="1">
      <alignment horizontal="right" shrinkToFit="0" vertical="center" wrapText="0"/>
    </xf>
    <xf borderId="11" fillId="0" fontId="15" numFmtId="164" xfId="0" applyAlignment="1" applyBorder="1" applyFont="1" applyNumberFormat="1">
      <alignment horizontal="right" shrinkToFit="0" vertical="center" wrapText="0"/>
    </xf>
    <xf borderId="11" fillId="6" fontId="15" numFmtId="0" xfId="0" applyAlignment="1" applyBorder="1" applyFont="1">
      <alignment horizontal="left" shrinkToFit="0" vertical="center" wrapText="0"/>
    </xf>
    <xf borderId="11" fillId="0" fontId="15" numFmtId="165" xfId="0" applyAlignment="1" applyBorder="1" applyFont="1" applyNumberFormat="1">
      <alignment horizontal="right" shrinkToFit="0" vertical="center" wrapText="0"/>
    </xf>
    <xf borderId="11" fillId="8" fontId="17" numFmtId="0" xfId="0" applyAlignment="1" applyBorder="1" applyFont="1">
      <alignment horizontal="left" shrinkToFit="0" vertical="center" wrapText="0"/>
    </xf>
    <xf borderId="11" fillId="8" fontId="17" numFmtId="165" xfId="0" applyAlignment="1" applyBorder="1" applyFont="1" applyNumberFormat="1">
      <alignment horizontal="right" shrinkToFit="0" vertical="center" wrapText="0"/>
    </xf>
    <xf borderId="11" fillId="0" fontId="16" numFmtId="166" xfId="0" applyAlignment="1" applyBorder="1" applyFont="1" applyNumberFormat="1">
      <alignment horizontal="right" shrinkToFit="0" vertical="center" wrapText="0"/>
    </xf>
    <xf borderId="0" fillId="0" fontId="19" numFmtId="0" xfId="0" applyAlignment="1" applyFont="1">
      <alignment horizontal="left" shrinkToFit="0" vertical="bottom" wrapText="1"/>
    </xf>
    <xf borderId="11" fillId="8" fontId="17" numFmtId="166" xfId="0" applyAlignment="1" applyBorder="1" applyFont="1" applyNumberFormat="1">
      <alignment horizontal="right" shrinkToFit="0" vertical="center" wrapText="0"/>
    </xf>
    <xf borderId="11" fillId="0" fontId="20" numFmtId="166" xfId="0" applyAlignment="1" applyBorder="1" applyFont="1" applyNumberFormat="1">
      <alignment horizontal="right" shrinkToFit="0" vertical="center" wrapText="0"/>
    </xf>
    <xf borderId="11" fillId="0" fontId="15" numFmtId="166" xfId="0" applyAlignment="1" applyBorder="1" applyFont="1" applyNumberFormat="1">
      <alignment horizontal="right" shrinkToFit="0" vertical="center" wrapText="0"/>
    </xf>
    <xf borderId="11" fillId="0" fontId="20" numFmtId="165" xfId="0" applyAlignment="1" applyBorder="1" applyFont="1" applyNumberFormat="1">
      <alignment horizontal="right" shrinkToFit="0" vertical="center" wrapText="0"/>
    </xf>
    <xf borderId="11" fillId="0" fontId="15" numFmtId="167" xfId="0" applyAlignment="1" applyBorder="1" applyFont="1" applyNumberFormat="1">
      <alignment horizontal="right" shrinkToFit="0" vertical="center" wrapText="0"/>
    </xf>
    <xf borderId="11" fillId="0" fontId="16" numFmtId="168" xfId="0" applyAlignment="1" applyBorder="1" applyFont="1" applyNumberFormat="1">
      <alignment horizontal="right" shrinkToFit="0" vertical="center" wrapText="0"/>
    </xf>
    <xf borderId="11" fillId="8" fontId="17" numFmtId="169" xfId="0" applyAlignment="1" applyBorder="1" applyFont="1" applyNumberFormat="1">
      <alignment horizontal="right" shrinkToFit="0" vertical="center" wrapText="0"/>
    </xf>
    <xf borderId="11" fillId="4" fontId="21" numFmtId="164" xfId="0" applyAlignment="1" applyBorder="1" applyFont="1" applyNumberFormat="1">
      <alignment horizontal="center" shrinkToFit="0" vertical="center" wrapText="0"/>
    </xf>
    <xf borderId="11" fillId="5" fontId="15" numFmtId="169" xfId="0" applyAlignment="1" applyBorder="1" applyFont="1" applyNumberFormat="1">
      <alignment horizontal="right" shrinkToFit="0" vertical="bottom" wrapText="0"/>
    </xf>
    <xf borderId="11" fillId="6" fontId="15" numFmtId="169" xfId="0" applyAlignment="1" applyBorder="1" applyFont="1" applyNumberFormat="1">
      <alignment horizontal="right" shrinkToFit="0" vertical="bottom" wrapText="0"/>
    </xf>
    <xf borderId="11" fillId="7" fontId="17" numFmtId="169" xfId="0" applyAlignment="1" applyBorder="1" applyFont="1" applyNumberFormat="1">
      <alignment horizontal="right" shrinkToFit="0" vertical="bottom" wrapText="0"/>
    </xf>
    <xf borderId="11" fillId="4" fontId="21" numFmtId="0" xfId="0" applyAlignment="1" applyBorder="1" applyFont="1">
      <alignment horizontal="center" shrinkToFit="0" vertical="center" wrapText="0"/>
    </xf>
    <xf borderId="11" fillId="5" fontId="16" numFmtId="0" xfId="0" applyAlignment="1" applyBorder="1" applyFont="1">
      <alignment horizontal="center" shrinkToFit="0" vertical="center" wrapText="0"/>
    </xf>
    <xf borderId="11" fillId="5" fontId="16" numFmtId="165" xfId="0" applyAlignment="1" applyBorder="1" applyFont="1" applyNumberFormat="1">
      <alignment horizontal="right" shrinkToFit="0" vertical="center" wrapText="0"/>
    </xf>
    <xf borderId="11" fillId="5" fontId="15" numFmtId="165" xfId="0" applyAlignment="1" applyBorder="1" applyFont="1" applyNumberFormat="1">
      <alignment horizontal="right" shrinkToFit="0" vertical="center" wrapText="0"/>
    </xf>
    <xf borderId="11" fillId="5" fontId="15" numFmtId="170" xfId="0" applyAlignment="1" applyBorder="1" applyFont="1" applyNumberFormat="1">
      <alignment horizontal="right" shrinkToFit="0" vertical="center" wrapText="0"/>
    </xf>
    <xf borderId="11" fillId="5" fontId="16" numFmtId="170" xfId="0" applyAlignment="1" applyBorder="1" applyFont="1" applyNumberFormat="1">
      <alignment horizontal="right" shrinkToFit="0" vertical="center" wrapText="0"/>
    </xf>
    <xf borderId="11" fillId="5" fontId="15" numFmtId="164" xfId="0" applyAlignment="1" applyBorder="1" applyFont="1" applyNumberFormat="1">
      <alignment horizontal="right" shrinkToFit="0" vertical="center" wrapText="0"/>
    </xf>
    <xf borderId="11" fillId="6" fontId="16" numFmtId="0" xfId="0" applyAlignment="1" applyBorder="1" applyFont="1">
      <alignment horizontal="center" shrinkToFit="0" vertical="center" wrapText="0"/>
    </xf>
    <xf borderId="11" fillId="6" fontId="16" numFmtId="165" xfId="0" applyAlignment="1" applyBorder="1" applyFont="1" applyNumberFormat="1">
      <alignment horizontal="right" shrinkToFit="0" vertical="center" wrapText="0"/>
    </xf>
    <xf borderId="11" fillId="6" fontId="15" numFmtId="165" xfId="0" applyAlignment="1" applyBorder="1" applyFont="1" applyNumberFormat="1">
      <alignment horizontal="right" shrinkToFit="0" vertical="center" wrapText="0"/>
    </xf>
    <xf borderId="11" fillId="6" fontId="15" numFmtId="170" xfId="0" applyAlignment="1" applyBorder="1" applyFont="1" applyNumberFormat="1">
      <alignment horizontal="right" shrinkToFit="0" vertical="center" wrapText="0"/>
    </xf>
    <xf borderId="11" fillId="6" fontId="16" numFmtId="170" xfId="0" applyAlignment="1" applyBorder="1" applyFont="1" applyNumberFormat="1">
      <alignment horizontal="right" shrinkToFit="0" vertical="center" wrapText="0"/>
    </xf>
    <xf borderId="11" fillId="6" fontId="15" numFmtId="164" xfId="0" applyAlignment="1" applyBorder="1" applyFont="1" applyNumberFormat="1">
      <alignment horizontal="right" shrinkToFit="0" vertical="center" wrapText="0"/>
    </xf>
    <xf borderId="11" fillId="8" fontId="17" numFmtId="170" xfId="0" applyAlignment="1" applyBorder="1" applyFont="1" applyNumberFormat="1">
      <alignment horizontal="right" shrinkToFit="0" vertical="center" wrapText="0"/>
    </xf>
    <xf borderId="11" fillId="8" fontId="17" numFmtId="164" xfId="0" applyAlignment="1" applyBorder="1" applyFont="1" applyNumberFormat="1">
      <alignment horizontal="right" shrinkToFit="0" vertical="center" wrapText="0"/>
    </xf>
    <xf borderId="11" fillId="5" fontId="15" numFmtId="0" xfId="0" applyAlignment="1" applyBorder="1" applyFont="1">
      <alignment horizontal="left" shrinkToFit="0" vertical="center" wrapText="0"/>
    </xf>
    <xf borderId="11" fillId="0" fontId="15" numFmtId="170" xfId="0" applyAlignment="1" applyBorder="1" applyFont="1" applyNumberFormat="1">
      <alignment horizontal="right" shrinkToFit="0" vertical="center" wrapText="0"/>
    </xf>
    <xf borderId="11" fillId="8" fontId="22" numFmtId="165" xfId="0" applyAlignment="1" applyBorder="1" applyFont="1" applyNumberFormat="1">
      <alignment horizontal="right" shrinkToFit="0" vertical="center" wrapText="0"/>
    </xf>
    <xf borderId="11" fillId="8" fontId="22" numFmtId="169" xfId="0" applyAlignment="1" applyBorder="1" applyFont="1" applyNumberFormat="1">
      <alignment horizontal="right" shrinkToFit="0" vertical="center" wrapText="0"/>
    </xf>
    <xf borderId="11" fillId="4" fontId="21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right" shrinkToFit="0" vertical="center" wrapText="0"/>
    </xf>
    <xf borderId="11" fillId="0" fontId="15" numFmtId="168" xfId="0" applyAlignment="1" applyBorder="1" applyFont="1" applyNumberFormat="1">
      <alignment horizontal="right" shrinkToFit="0" vertical="center" wrapText="0"/>
    </xf>
    <xf borderId="11" fillId="0" fontId="16" numFmtId="170" xfId="0" applyAlignment="1" applyBorder="1" applyFont="1" applyNumberFormat="1">
      <alignment horizontal="right" shrinkToFit="0" vertical="center" wrapText="0"/>
    </xf>
    <xf borderId="11" fillId="0" fontId="17" numFmtId="165" xfId="0" applyAlignment="1" applyBorder="1" applyFont="1" applyNumberFormat="1">
      <alignment horizontal="right" shrinkToFit="0" vertical="center" wrapText="0"/>
    </xf>
    <xf borderId="11" fillId="4" fontId="21" numFmtId="170" xfId="0" applyAlignment="1" applyBorder="1" applyFont="1" applyNumberFormat="1">
      <alignment horizontal="center" shrinkToFit="0" vertical="center" wrapText="0"/>
    </xf>
    <xf borderId="11" fillId="5" fontId="15" numFmtId="164" xfId="0" applyAlignment="1" applyBorder="1" applyFont="1" applyNumberFormat="1">
      <alignment horizontal="center" shrinkToFit="0" vertical="bottom" wrapText="0"/>
    </xf>
    <xf borderId="11" fillId="6" fontId="15" numFmtId="164" xfId="0" applyAlignment="1" applyBorder="1" applyFont="1" applyNumberFormat="1">
      <alignment horizontal="center" shrinkToFit="0" vertical="bottom" wrapText="0"/>
    </xf>
    <xf borderId="11" fillId="7" fontId="17" numFmtId="164" xfId="0" applyAlignment="1" applyBorder="1" applyFont="1" applyNumberFormat="1">
      <alignment horizontal="center" shrinkToFit="0" vertical="bottom" wrapText="0"/>
    </xf>
    <xf borderId="8" fillId="2" fontId="23" numFmtId="0" xfId="0" applyAlignment="1" applyBorder="1" applyFont="1">
      <alignment horizontal="left" shrinkToFit="0" vertical="center" wrapText="0"/>
    </xf>
    <xf borderId="11" fillId="0" fontId="17" numFmtId="169" xfId="0" applyAlignment="1" applyBorder="1" applyFont="1" applyNumberFormat="1">
      <alignment horizontal="right" shrinkToFit="0" vertical="center" wrapText="0"/>
    </xf>
    <xf borderId="11" fillId="0" fontId="16" numFmtId="169" xfId="0" applyAlignment="1" applyBorder="1" applyFont="1" applyNumberFormat="1">
      <alignment horizontal="right" shrinkToFit="0" vertical="center" wrapText="0"/>
    </xf>
    <xf borderId="11" fillId="0" fontId="17" numFmtId="168" xfId="0" applyAlignment="1" applyBorder="1" applyFont="1" applyNumberFormat="1">
      <alignment horizontal="right" shrinkToFit="0" vertical="center" wrapText="0"/>
    </xf>
    <xf borderId="11" fillId="0" fontId="15" numFmtId="169" xfId="0" applyAlignment="1" applyBorder="1" applyFont="1" applyNumberFormat="1">
      <alignment horizontal="right" shrinkToFit="0" vertical="center" wrapText="0"/>
    </xf>
    <xf borderId="11" fillId="8" fontId="17" numFmtId="171" xfId="0" applyAlignment="1" applyBorder="1" applyFont="1" applyNumberFormat="1">
      <alignment horizontal="right" shrinkToFit="0" vertical="center" wrapText="0"/>
    </xf>
    <xf borderId="11" fillId="5" fontId="17" numFmtId="0" xfId="0" applyAlignment="1" applyBorder="1" applyFont="1">
      <alignment horizontal="left" shrinkToFit="0" vertical="center" wrapText="0"/>
    </xf>
    <xf borderId="11" fillId="0" fontId="24" numFmtId="0" xfId="0" applyAlignment="1" applyBorder="1" applyFont="1">
      <alignment horizontal="left" shrinkToFit="0" vertical="bottom" wrapText="1"/>
    </xf>
    <xf borderId="11" fillId="6" fontId="1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6.0"/>
    <col customWidth="1" min="3" max="3" width="44.0"/>
    <col customWidth="1" min="4" max="4" width="22.0"/>
    <col customWidth="1" min="5" max="5" width="62.86"/>
    <col customWidth="1" min="6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9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/>
      <c r="C3" s="6"/>
      <c r="D3" s="6"/>
      <c r="E3" s="6"/>
      <c r="F3" s="6"/>
      <c r="G3" s="6"/>
      <c r="H3" s="6"/>
      <c r="I3" s="6"/>
      <c r="J3" s="7"/>
      <c r="K3" s="1"/>
    </row>
    <row r="4" ht="19.5" customHeight="1">
      <c r="A4" s="1"/>
      <c r="B4" s="8" t="s">
        <v>1</v>
      </c>
      <c r="C4" s="3"/>
      <c r="D4" s="3"/>
      <c r="E4" s="3"/>
      <c r="F4" s="3"/>
      <c r="G4" s="3"/>
      <c r="H4" s="3"/>
      <c r="I4" s="3"/>
      <c r="J4" s="4"/>
      <c r="K4" s="1"/>
    </row>
    <row r="5" ht="19.5" customHeight="1">
      <c r="A5" s="1"/>
      <c r="B5" s="5"/>
      <c r="C5" s="6"/>
      <c r="D5" s="6"/>
      <c r="E5" s="6"/>
      <c r="F5" s="6"/>
      <c r="G5" s="6"/>
      <c r="H5" s="6"/>
      <c r="I5" s="6"/>
      <c r="J5" s="7"/>
      <c r="K5" s="1"/>
    </row>
    <row r="6" ht="19.5" customHeight="1">
      <c r="A6" s="1"/>
      <c r="B6" s="9" t="s">
        <v>2</v>
      </c>
      <c r="C6" s="10"/>
      <c r="D6" s="10"/>
      <c r="E6" s="10"/>
      <c r="F6" s="10"/>
      <c r="G6" s="10"/>
      <c r="H6" s="10"/>
      <c r="I6" s="10"/>
      <c r="J6" s="11"/>
      <c r="K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4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7.5" customHeight="1">
      <c r="A9" s="13"/>
      <c r="B9" s="13"/>
      <c r="C9" s="13"/>
      <c r="D9" s="13"/>
      <c r="E9" s="13"/>
    </row>
    <row r="10" ht="21.75" customHeight="1">
      <c r="A10" s="13"/>
      <c r="B10" s="14" t="s">
        <v>3</v>
      </c>
      <c r="C10" s="14" t="s">
        <v>4</v>
      </c>
      <c r="D10" s="14" t="s">
        <v>5</v>
      </c>
      <c r="E10" s="14" t="s">
        <v>6</v>
      </c>
    </row>
    <row r="11" ht="19.5" customHeight="1">
      <c r="A11" s="13"/>
      <c r="B11" s="15" t="s">
        <v>7</v>
      </c>
      <c r="C11" s="16" t="s">
        <v>8</v>
      </c>
      <c r="D11" s="15" t="s">
        <v>9</v>
      </c>
      <c r="E11" s="17" t="s">
        <v>10</v>
      </c>
    </row>
    <row r="12" ht="19.5" customHeight="1">
      <c r="A12" s="13"/>
      <c r="B12" s="18" t="s">
        <v>11</v>
      </c>
      <c r="C12" s="19" t="s">
        <v>12</v>
      </c>
      <c r="D12" s="18" t="s">
        <v>13</v>
      </c>
      <c r="E12" s="20" t="s">
        <v>14</v>
      </c>
    </row>
    <row r="13" ht="19.5" customHeight="1">
      <c r="A13" s="13"/>
      <c r="B13" s="15" t="s">
        <v>15</v>
      </c>
      <c r="C13" s="16" t="s">
        <v>16</v>
      </c>
      <c r="D13" s="15" t="s">
        <v>17</v>
      </c>
      <c r="E13" s="17" t="s">
        <v>18</v>
      </c>
    </row>
    <row r="14" ht="19.5" customHeight="1">
      <c r="A14" s="13"/>
      <c r="B14" s="18" t="s">
        <v>19</v>
      </c>
      <c r="C14" s="19" t="s">
        <v>20</v>
      </c>
      <c r="D14" s="18" t="s">
        <v>21</v>
      </c>
      <c r="E14" s="20" t="s">
        <v>22</v>
      </c>
    </row>
    <row r="15" ht="19.5" customHeight="1">
      <c r="A15" s="13"/>
      <c r="B15" s="15" t="s">
        <v>23</v>
      </c>
      <c r="C15" s="16" t="s">
        <v>24</v>
      </c>
      <c r="D15" s="15" t="s">
        <v>25</v>
      </c>
      <c r="E15" s="17" t="s">
        <v>26</v>
      </c>
    </row>
    <row r="16" ht="19.5" customHeight="1">
      <c r="A16" s="13"/>
      <c r="B16" s="18" t="s">
        <v>27</v>
      </c>
      <c r="C16" s="19" t="s">
        <v>28</v>
      </c>
      <c r="D16" s="18" t="s">
        <v>29</v>
      </c>
      <c r="E16" s="20" t="s">
        <v>30</v>
      </c>
    </row>
    <row r="17">
      <c r="A17" s="13"/>
      <c r="B17" s="13"/>
      <c r="C17" s="13"/>
      <c r="D17" s="13"/>
      <c r="E17" s="13"/>
    </row>
    <row r="18" ht="27.75" customHeight="1">
      <c r="A18" s="13"/>
      <c r="B18" s="21" t="s">
        <v>31</v>
      </c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mergeCells count="4">
    <mergeCell ref="B2:J3"/>
    <mergeCell ref="B4:J5"/>
    <mergeCell ref="B6:J6"/>
    <mergeCell ref="B18:E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7.71"/>
    <col customWidth="1" min="2" max="2" width="3.0"/>
    <col customWidth="1" min="3" max="3" width="8.57"/>
    <col customWidth="1" min="4" max="4" width="22.43"/>
    <col customWidth="1" min="5" max="6" width="8.29"/>
    <col customWidth="1" min="7" max="7" width="21.14"/>
    <col customWidth="1" min="8" max="8" width="6.14"/>
    <col customWidth="1" min="9" max="9" width="13.86"/>
    <col customWidth="1" min="10" max="10" width="16.0"/>
    <col customWidth="1" min="11" max="26" width="8.71"/>
  </cols>
  <sheetData>
    <row r="1">
      <c r="A1" s="22" t="s">
        <v>32</v>
      </c>
      <c r="B1" s="10"/>
      <c r="C1" s="10"/>
      <c r="D1" s="10"/>
      <c r="E1" s="10"/>
      <c r="F1" s="10"/>
      <c r="G1" s="10"/>
      <c r="H1" s="10"/>
      <c r="I1" s="10"/>
      <c r="J1" s="11"/>
    </row>
    <row r="2">
      <c r="A2" s="23" t="s">
        <v>33</v>
      </c>
      <c r="B2" s="10"/>
      <c r="C2" s="10"/>
      <c r="D2" s="10"/>
      <c r="E2" s="10"/>
      <c r="F2" s="10"/>
      <c r="G2" s="10"/>
      <c r="H2" s="10"/>
      <c r="I2" s="10"/>
      <c r="J2" s="11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</row>
    <row r="4">
      <c r="A4" s="24" t="s">
        <v>34</v>
      </c>
      <c r="B4" s="13"/>
      <c r="C4" s="13"/>
      <c r="D4" s="25" t="s">
        <v>35</v>
      </c>
      <c r="E4" s="13"/>
      <c r="F4" s="13"/>
      <c r="G4" s="26" t="s">
        <v>36</v>
      </c>
      <c r="H4" s="13"/>
      <c r="I4" s="13"/>
      <c r="J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</row>
    <row r="6">
      <c r="A6" s="27" t="s">
        <v>37</v>
      </c>
      <c r="B6" s="28"/>
      <c r="C6" s="28"/>
      <c r="D6" s="28"/>
      <c r="E6" s="28"/>
      <c r="F6" s="28"/>
      <c r="G6" s="28"/>
      <c r="H6" s="28"/>
      <c r="I6" s="28"/>
      <c r="J6" s="29"/>
    </row>
    <row r="7">
      <c r="A7" s="30" t="s">
        <v>38</v>
      </c>
      <c r="B7" s="13"/>
      <c r="C7" s="31">
        <v>0.082</v>
      </c>
      <c r="D7" s="31">
        <v>0.095</v>
      </c>
      <c r="E7" s="31">
        <v>0.088</v>
      </c>
      <c r="F7" s="31">
        <v>0.076</v>
      </c>
      <c r="G7" s="31">
        <v>0.065</v>
      </c>
      <c r="H7" s="13"/>
      <c r="I7" s="13"/>
      <c r="J7" s="13"/>
    </row>
    <row r="8">
      <c r="A8" s="30" t="s">
        <v>39</v>
      </c>
      <c r="B8" s="13"/>
      <c r="C8" s="31">
        <v>0.318</v>
      </c>
      <c r="D8" s="31">
        <v>0.324</v>
      </c>
      <c r="E8" s="31">
        <v>0.331</v>
      </c>
      <c r="F8" s="31">
        <v>0.338</v>
      </c>
      <c r="G8" s="31">
        <v>0.342</v>
      </c>
      <c r="H8" s="13"/>
      <c r="I8" s="13"/>
      <c r="J8" s="13"/>
    </row>
    <row r="9">
      <c r="A9" s="30" t="s">
        <v>40</v>
      </c>
      <c r="B9" s="13"/>
      <c r="C9" s="31">
        <v>0.062</v>
      </c>
      <c r="D9" s="31">
        <v>0.06</v>
      </c>
      <c r="E9" s="31">
        <v>0.059</v>
      </c>
      <c r="F9" s="31">
        <v>0.058</v>
      </c>
      <c r="G9" s="31">
        <v>0.057</v>
      </c>
      <c r="H9" s="13"/>
      <c r="I9" s="13"/>
      <c r="J9" s="13"/>
    </row>
    <row r="10">
      <c r="A10" s="30" t="s">
        <v>41</v>
      </c>
      <c r="B10" s="13"/>
      <c r="C10" s="31">
        <v>0.085</v>
      </c>
      <c r="D10" s="31">
        <v>0.082</v>
      </c>
      <c r="E10" s="31">
        <v>0.078</v>
      </c>
      <c r="F10" s="31">
        <v>0.075</v>
      </c>
      <c r="G10" s="31">
        <v>0.072</v>
      </c>
      <c r="H10" s="13"/>
      <c r="I10" s="13"/>
      <c r="J10" s="13"/>
    </row>
    <row r="11">
      <c r="A11" s="30" t="s">
        <v>42</v>
      </c>
      <c r="B11" s="13"/>
      <c r="C11" s="31">
        <v>0.12</v>
      </c>
      <c r="D11" s="31">
        <v>0.115</v>
      </c>
      <c r="E11" s="31">
        <v>0.11</v>
      </c>
      <c r="F11" s="31">
        <v>0.108</v>
      </c>
      <c r="G11" s="31">
        <v>0.105</v>
      </c>
      <c r="H11" s="13"/>
      <c r="I11" s="13"/>
      <c r="J11" s="13"/>
    </row>
    <row r="12">
      <c r="A12" s="30" t="s">
        <v>43</v>
      </c>
      <c r="B12" s="13"/>
      <c r="C12" s="31">
        <v>0.265</v>
      </c>
      <c r="D12" s="31">
        <v>0.265</v>
      </c>
      <c r="E12" s="31">
        <v>0.265</v>
      </c>
      <c r="F12" s="31">
        <v>0.265</v>
      </c>
      <c r="G12" s="31">
        <v>0.265</v>
      </c>
      <c r="H12" s="13"/>
      <c r="I12" s="13"/>
      <c r="J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>
      <c r="A14" s="32" t="s">
        <v>44</v>
      </c>
      <c r="B14" s="13"/>
      <c r="C14" s="33">
        <v>1842.5</v>
      </c>
      <c r="D14" s="13"/>
      <c r="E14" s="13"/>
      <c r="F14" s="13"/>
      <c r="G14" s="13"/>
      <c r="H14" s="13"/>
      <c r="I14" s="13"/>
      <c r="J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>
      <c r="A16" s="27" t="s">
        <v>45</v>
      </c>
      <c r="B16" s="28"/>
      <c r="C16" s="28"/>
      <c r="D16" s="28"/>
      <c r="E16" s="28"/>
      <c r="F16" s="28"/>
      <c r="G16" s="28"/>
      <c r="H16" s="28"/>
      <c r="I16" s="28"/>
      <c r="J16" s="29"/>
    </row>
    <row r="17">
      <c r="A17" s="34" t="s">
        <v>46</v>
      </c>
      <c r="B17" s="13"/>
      <c r="C17" s="34" t="s">
        <v>47</v>
      </c>
      <c r="D17" s="34" t="s">
        <v>48</v>
      </c>
      <c r="E17" s="34" t="s">
        <v>49</v>
      </c>
      <c r="F17" s="34" t="s">
        <v>50</v>
      </c>
      <c r="G17" s="34" t="s">
        <v>51</v>
      </c>
      <c r="H17" s="34" t="s">
        <v>52</v>
      </c>
      <c r="I17" s="13"/>
      <c r="J17" s="13"/>
    </row>
    <row r="18">
      <c r="A18" s="35" t="s">
        <v>53</v>
      </c>
      <c r="B18" s="13"/>
      <c r="C18" s="36">
        <f>$C14*(1+C7)</f>
        <v>1993.585</v>
      </c>
      <c r="D18" s="36">
        <f t="shared" ref="D18:G18" si="1">C18*(1+D7)</f>
        <v>2182.975575</v>
      </c>
      <c r="E18" s="36">
        <f t="shared" si="1"/>
        <v>2375.077426</v>
      </c>
      <c r="F18" s="36">
        <f t="shared" si="1"/>
        <v>2555.58331</v>
      </c>
      <c r="G18" s="36">
        <f t="shared" si="1"/>
        <v>2721.696225</v>
      </c>
      <c r="H18" s="37">
        <f>(G18/C18)^(1/(COUNT(C18:G18)-1))-1</f>
        <v>0.08093909222</v>
      </c>
      <c r="I18" s="13"/>
      <c r="J18" s="13"/>
    </row>
    <row r="19">
      <c r="A19" s="38" t="s">
        <v>54</v>
      </c>
      <c r="B19" s="13"/>
      <c r="C19" s="39">
        <f t="shared" ref="C19:G19" si="2">C18*C8</f>
        <v>633.96003</v>
      </c>
      <c r="D19" s="39">
        <f t="shared" si="2"/>
        <v>707.2840863</v>
      </c>
      <c r="E19" s="39">
        <f t="shared" si="2"/>
        <v>786.1506279</v>
      </c>
      <c r="F19" s="39">
        <f t="shared" si="2"/>
        <v>863.7871588</v>
      </c>
      <c r="G19" s="39">
        <f t="shared" si="2"/>
        <v>930.820109</v>
      </c>
      <c r="H19" s="13"/>
      <c r="I19" s="13"/>
      <c r="J19" s="13"/>
    </row>
    <row r="20">
      <c r="A20" s="38" t="s">
        <v>55</v>
      </c>
      <c r="B20" s="13"/>
      <c r="C20" s="37">
        <f t="shared" ref="C20:G20" si="3">C19/C18</f>
        <v>0.318</v>
      </c>
      <c r="D20" s="37">
        <f t="shared" si="3"/>
        <v>0.324</v>
      </c>
      <c r="E20" s="37">
        <f t="shared" si="3"/>
        <v>0.331</v>
      </c>
      <c r="F20" s="37">
        <f t="shared" si="3"/>
        <v>0.338</v>
      </c>
      <c r="G20" s="37">
        <f t="shared" si="3"/>
        <v>0.342</v>
      </c>
      <c r="H20" s="13"/>
      <c r="I20" s="13"/>
      <c r="J20" s="13"/>
    </row>
    <row r="21">
      <c r="A21" s="38" t="s">
        <v>56</v>
      </c>
      <c r="B21" s="13"/>
      <c r="C21" s="39">
        <f t="shared" ref="C21:G21" si="4">-C18*C9</f>
        <v>-123.60227</v>
      </c>
      <c r="D21" s="39">
        <f t="shared" si="4"/>
        <v>-130.9785345</v>
      </c>
      <c r="E21" s="39">
        <f t="shared" si="4"/>
        <v>-140.1295681</v>
      </c>
      <c r="F21" s="39">
        <f t="shared" si="4"/>
        <v>-148.223832</v>
      </c>
      <c r="G21" s="39">
        <f t="shared" si="4"/>
        <v>-155.1366848</v>
      </c>
      <c r="H21" s="13"/>
      <c r="I21" s="13"/>
      <c r="J21" s="13"/>
    </row>
    <row r="22">
      <c r="A22" s="35" t="s">
        <v>57</v>
      </c>
      <c r="B22" s="13"/>
      <c r="C22" s="36">
        <f t="shared" ref="C22:G22" si="5">C19+C21</f>
        <v>510.35776</v>
      </c>
      <c r="D22" s="36">
        <f t="shared" si="5"/>
        <v>576.3055518</v>
      </c>
      <c r="E22" s="36">
        <f t="shared" si="5"/>
        <v>646.0210598</v>
      </c>
      <c r="F22" s="36">
        <f t="shared" si="5"/>
        <v>715.5633268</v>
      </c>
      <c r="G22" s="36">
        <f t="shared" si="5"/>
        <v>775.6834242</v>
      </c>
      <c r="H22" s="13"/>
      <c r="I22" s="13"/>
      <c r="J22" s="13"/>
    </row>
    <row r="23">
      <c r="A23" s="38" t="s">
        <v>58</v>
      </c>
      <c r="B23" s="13"/>
      <c r="C23" s="39">
        <f t="shared" ref="C23:G23" si="6">-C22*C12</f>
        <v>-135.2448064</v>
      </c>
      <c r="D23" s="39">
        <f t="shared" si="6"/>
        <v>-152.7209712</v>
      </c>
      <c r="E23" s="39">
        <f t="shared" si="6"/>
        <v>-171.1955808</v>
      </c>
      <c r="F23" s="39">
        <f t="shared" si="6"/>
        <v>-189.6242816</v>
      </c>
      <c r="G23" s="39">
        <f t="shared" si="6"/>
        <v>-205.5561074</v>
      </c>
      <c r="H23" s="13"/>
      <c r="I23" s="13"/>
      <c r="J23" s="13"/>
    </row>
    <row r="24">
      <c r="A24" s="35" t="s">
        <v>59</v>
      </c>
      <c r="B24" s="13"/>
      <c r="C24" s="36">
        <f t="shared" ref="C24:G24" si="7">C22+C23</f>
        <v>375.1129536</v>
      </c>
      <c r="D24" s="36">
        <f t="shared" si="7"/>
        <v>423.5845806</v>
      </c>
      <c r="E24" s="36">
        <f t="shared" si="7"/>
        <v>474.8254789</v>
      </c>
      <c r="F24" s="36">
        <f t="shared" si="7"/>
        <v>525.9390452</v>
      </c>
      <c r="G24" s="36">
        <f t="shared" si="7"/>
        <v>570.1273168</v>
      </c>
      <c r="H24" s="13"/>
      <c r="I24" s="13"/>
      <c r="J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32" t="s">
        <v>60</v>
      </c>
      <c r="B26" s="13"/>
      <c r="C26" s="13"/>
      <c r="D26" s="13"/>
      <c r="E26" s="13"/>
      <c r="F26" s="13"/>
      <c r="G26" s="13"/>
      <c r="H26" s="13"/>
      <c r="I26" s="13"/>
      <c r="J26" s="13"/>
    </row>
    <row r="27">
      <c r="A27" s="38" t="s">
        <v>61</v>
      </c>
      <c r="B27" s="13"/>
      <c r="C27" s="39">
        <f t="shared" ref="C27:G27" si="8">-C21</f>
        <v>123.60227</v>
      </c>
      <c r="D27" s="39">
        <f t="shared" si="8"/>
        <v>130.9785345</v>
      </c>
      <c r="E27" s="39">
        <f t="shared" si="8"/>
        <v>140.1295681</v>
      </c>
      <c r="F27" s="39">
        <f t="shared" si="8"/>
        <v>148.223832</v>
      </c>
      <c r="G27" s="39">
        <f t="shared" si="8"/>
        <v>155.1366848</v>
      </c>
      <c r="H27" s="13"/>
      <c r="I27" s="13"/>
      <c r="J27" s="13"/>
    </row>
    <row r="28">
      <c r="A28" s="38" t="s">
        <v>62</v>
      </c>
      <c r="B28" s="13"/>
      <c r="C28" s="39">
        <f t="shared" ref="C28:G28" si="9">-C18*C10</f>
        <v>-169.454725</v>
      </c>
      <c r="D28" s="39">
        <f t="shared" si="9"/>
        <v>-179.0039972</v>
      </c>
      <c r="E28" s="39">
        <f t="shared" si="9"/>
        <v>-185.2560392</v>
      </c>
      <c r="F28" s="39">
        <f t="shared" si="9"/>
        <v>-191.6687482</v>
      </c>
      <c r="G28" s="39">
        <f t="shared" si="9"/>
        <v>-195.9621282</v>
      </c>
      <c r="H28" s="13"/>
      <c r="I28" s="13"/>
      <c r="J28" s="13"/>
    </row>
    <row r="29">
      <c r="A29" s="38" t="s">
        <v>63</v>
      </c>
      <c r="B29" s="13"/>
      <c r="C29" s="39">
        <f>-C18*C11</f>
        <v>-239.2302</v>
      </c>
      <c r="D29" s="39">
        <f t="shared" ref="D29:G29" si="10">-(D18-C18)*D11</f>
        <v>-21.77991613</v>
      </c>
      <c r="E29" s="39">
        <f t="shared" si="10"/>
        <v>-21.13120357</v>
      </c>
      <c r="F29" s="39">
        <f t="shared" si="10"/>
        <v>-19.49463551</v>
      </c>
      <c r="G29" s="39">
        <f t="shared" si="10"/>
        <v>-17.44185609</v>
      </c>
      <c r="H29" s="13"/>
      <c r="I29" s="13"/>
      <c r="J29" s="13"/>
    </row>
    <row r="30">
      <c r="A30" s="40" t="s">
        <v>64</v>
      </c>
      <c r="B30" s="13"/>
      <c r="C30" s="41">
        <f t="shared" ref="C30:G30" si="11">C24+C27+C28+C29</f>
        <v>90.0302986</v>
      </c>
      <c r="D30" s="41">
        <f t="shared" si="11"/>
        <v>353.7792018</v>
      </c>
      <c r="E30" s="41">
        <f t="shared" si="11"/>
        <v>408.5678043</v>
      </c>
      <c r="F30" s="41">
        <f t="shared" si="11"/>
        <v>462.9994934</v>
      </c>
      <c r="G30" s="41">
        <f t="shared" si="11"/>
        <v>511.8600173</v>
      </c>
      <c r="H30" s="13"/>
      <c r="I30" s="13"/>
      <c r="J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>
      <c r="A32" s="27" t="s">
        <v>65</v>
      </c>
      <c r="B32" s="28"/>
      <c r="C32" s="28"/>
      <c r="D32" s="28"/>
      <c r="E32" s="28"/>
      <c r="F32" s="28"/>
      <c r="G32" s="28"/>
      <c r="H32" s="28"/>
      <c r="I32" s="28"/>
      <c r="J32" s="29"/>
    </row>
    <row r="33">
      <c r="A33" s="30" t="s">
        <v>66</v>
      </c>
      <c r="B33" s="13"/>
      <c r="C33" s="42">
        <v>0.0368</v>
      </c>
      <c r="D33" s="13"/>
      <c r="E33" s="13"/>
      <c r="F33" s="13"/>
      <c r="G33" s="13"/>
      <c r="H33" s="13"/>
      <c r="I33" s="43" t="s">
        <v>67</v>
      </c>
      <c r="J33" s="13"/>
    </row>
    <row r="34">
      <c r="A34" s="30" t="s">
        <v>68</v>
      </c>
      <c r="B34" s="13"/>
      <c r="C34" s="42">
        <v>0.052</v>
      </c>
      <c r="D34" s="13"/>
      <c r="E34" s="13"/>
      <c r="F34" s="13"/>
      <c r="G34" s="13"/>
      <c r="H34" s="13"/>
      <c r="I34" s="43" t="s">
        <v>69</v>
      </c>
      <c r="J34" s="13"/>
    </row>
    <row r="35">
      <c r="A35" s="30" t="s">
        <v>70</v>
      </c>
      <c r="B35" s="13"/>
      <c r="C35" s="42">
        <v>1.18</v>
      </c>
      <c r="D35" s="13"/>
      <c r="E35" s="13"/>
      <c r="F35" s="13"/>
      <c r="G35" s="13"/>
      <c r="H35" s="13"/>
      <c r="I35" s="43" t="s">
        <v>71</v>
      </c>
      <c r="J35" s="13"/>
    </row>
    <row r="36">
      <c r="A36" s="30" t="s">
        <v>72</v>
      </c>
      <c r="B36" s="13"/>
      <c r="C36" s="42">
        <v>0.0115</v>
      </c>
      <c r="D36" s="13"/>
      <c r="E36" s="13"/>
      <c r="F36" s="13"/>
      <c r="G36" s="13"/>
      <c r="H36" s="13"/>
      <c r="I36" s="43" t="s">
        <v>73</v>
      </c>
      <c r="J36" s="13"/>
    </row>
    <row r="37">
      <c r="A37" s="30" t="s">
        <v>74</v>
      </c>
      <c r="B37" s="13"/>
      <c r="C37" s="42">
        <v>0.0075</v>
      </c>
      <c r="D37" s="13"/>
      <c r="E37" s="13"/>
      <c r="F37" s="13"/>
      <c r="G37" s="13"/>
      <c r="H37" s="13"/>
      <c r="I37" s="43" t="s">
        <v>75</v>
      </c>
      <c r="J37" s="13"/>
    </row>
    <row r="38">
      <c r="A38" s="30" t="s">
        <v>76</v>
      </c>
      <c r="B38" s="13"/>
      <c r="C38" s="44">
        <f>C33+C35*C34+C36+C37</f>
        <v>0.11716</v>
      </c>
      <c r="D38" s="13"/>
      <c r="E38" s="13"/>
      <c r="F38" s="13"/>
      <c r="G38" s="13"/>
      <c r="H38" s="13"/>
      <c r="I38" s="43" t="s">
        <v>77</v>
      </c>
      <c r="J38" s="13"/>
    </row>
    <row r="39">
      <c r="A39" s="30" t="s">
        <v>78</v>
      </c>
      <c r="B39" s="13"/>
      <c r="C39" s="42">
        <v>0.0685</v>
      </c>
      <c r="D39" s="13"/>
      <c r="E39" s="13"/>
      <c r="F39" s="13"/>
      <c r="G39" s="13"/>
      <c r="H39" s="13"/>
      <c r="I39" s="43" t="s">
        <v>79</v>
      </c>
      <c r="J39" s="13"/>
    </row>
    <row r="40">
      <c r="A40" s="30" t="s">
        <v>80</v>
      </c>
      <c r="B40" s="13"/>
      <c r="C40" s="45">
        <f>C12</f>
        <v>0.265</v>
      </c>
      <c r="D40" s="13"/>
      <c r="E40" s="13"/>
      <c r="F40" s="13"/>
      <c r="G40" s="13"/>
      <c r="H40" s="13"/>
      <c r="I40" s="43" t="s">
        <v>81</v>
      </c>
      <c r="J40" s="13"/>
    </row>
    <row r="41">
      <c r="A41" s="30" t="s">
        <v>82</v>
      </c>
      <c r="B41" s="13"/>
      <c r="C41" s="46">
        <f>C39*(1-C40)</f>
        <v>0.0503475</v>
      </c>
      <c r="D41" s="13"/>
      <c r="E41" s="13"/>
      <c r="F41" s="13"/>
      <c r="G41" s="13"/>
      <c r="H41" s="13"/>
      <c r="I41" s="43" t="s">
        <v>83</v>
      </c>
      <c r="J41" s="13"/>
    </row>
    <row r="42">
      <c r="A42" s="30" t="s">
        <v>84</v>
      </c>
      <c r="B42" s="13"/>
      <c r="C42" s="42">
        <v>0.62</v>
      </c>
      <c r="D42" s="13"/>
      <c r="E42" s="13"/>
      <c r="F42" s="13"/>
      <c r="G42" s="13"/>
      <c r="H42" s="13"/>
      <c r="I42" s="43" t="s">
        <v>85</v>
      </c>
      <c r="J42" s="13"/>
    </row>
    <row r="43">
      <c r="A43" s="30" t="s">
        <v>86</v>
      </c>
      <c r="B43" s="13"/>
      <c r="C43" s="46">
        <f>1-C42</f>
        <v>0.38</v>
      </c>
      <c r="D43" s="13"/>
      <c r="E43" s="13"/>
      <c r="F43" s="13"/>
      <c r="G43" s="13"/>
      <c r="H43" s="13"/>
      <c r="I43" s="43" t="s">
        <v>87</v>
      </c>
      <c r="J43" s="13"/>
    </row>
    <row r="44">
      <c r="A44" s="30" t="s">
        <v>88</v>
      </c>
      <c r="B44" s="13"/>
      <c r="C44" s="44">
        <f>C38*C42+C41*C43</f>
        <v>0.09177125</v>
      </c>
      <c r="D44" s="13"/>
      <c r="E44" s="13"/>
      <c r="F44" s="13"/>
      <c r="G44" s="13"/>
      <c r="H44" s="13"/>
      <c r="I44" s="43" t="s">
        <v>89</v>
      </c>
      <c r="J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>
      <c r="A46" s="27" t="s">
        <v>90</v>
      </c>
      <c r="B46" s="28"/>
      <c r="C46" s="28"/>
      <c r="D46" s="28"/>
      <c r="E46" s="28"/>
      <c r="F46" s="28"/>
      <c r="G46" s="28"/>
      <c r="H46" s="28"/>
      <c r="I46" s="28"/>
      <c r="J46" s="29"/>
    </row>
    <row r="47">
      <c r="A47" s="30" t="s">
        <v>91</v>
      </c>
      <c r="B47" s="13"/>
      <c r="C47" s="42">
        <v>0.025</v>
      </c>
      <c r="D47" s="13"/>
      <c r="E47" s="13"/>
      <c r="F47" s="13"/>
      <c r="G47" s="13"/>
      <c r="H47" s="13"/>
      <c r="I47" s="13"/>
      <c r="J47" s="13"/>
    </row>
    <row r="48">
      <c r="A48" s="30" t="s">
        <v>92</v>
      </c>
      <c r="B48" s="13"/>
      <c r="C48" s="47">
        <f>G30</f>
        <v>511.8600173</v>
      </c>
      <c r="D48" s="13"/>
      <c r="E48" s="13"/>
      <c r="F48" s="13"/>
      <c r="G48" s="13"/>
      <c r="H48" s="13"/>
      <c r="I48" s="13"/>
      <c r="J48" s="13"/>
    </row>
    <row r="49">
      <c r="A49" s="30" t="s">
        <v>93</v>
      </c>
      <c r="B49" s="13"/>
      <c r="C49" s="41">
        <f>C48*(1+C47)/(C44-C47)</f>
        <v>7857.521279</v>
      </c>
      <c r="D49" s="13"/>
      <c r="E49" s="13"/>
      <c r="F49" s="13"/>
      <c r="G49" s="13"/>
      <c r="H49" s="13"/>
      <c r="I49" s="13"/>
      <c r="J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>
      <c r="A51" s="30" t="s">
        <v>94</v>
      </c>
      <c r="B51" s="13"/>
      <c r="C51" s="48">
        <f>1/(1+C44)^1</f>
        <v>0.9159427856</v>
      </c>
      <c r="D51" s="13"/>
      <c r="E51" s="13"/>
      <c r="F51" s="13"/>
      <c r="G51" s="13"/>
      <c r="H51" s="13"/>
      <c r="I51" s="13"/>
      <c r="J51" s="13"/>
    </row>
    <row r="52">
      <c r="A52" s="30" t="s">
        <v>95</v>
      </c>
      <c r="B52" s="13"/>
      <c r="C52" s="48">
        <f>1/(1+C44)^2</f>
        <v>0.8389511866</v>
      </c>
      <c r="D52" s="13"/>
      <c r="E52" s="13"/>
      <c r="F52" s="13"/>
      <c r="G52" s="13"/>
      <c r="H52" s="13"/>
      <c r="I52" s="13"/>
      <c r="J52" s="13"/>
    </row>
    <row r="53">
      <c r="A53" s="30" t="s">
        <v>96</v>
      </c>
      <c r="B53" s="13"/>
      <c r="C53" s="48">
        <f>1/(1+C44)^3</f>
        <v>0.7684312868</v>
      </c>
      <c r="D53" s="13"/>
      <c r="E53" s="13"/>
      <c r="F53" s="13"/>
      <c r="G53" s="13"/>
      <c r="H53" s="13"/>
      <c r="I53" s="13"/>
      <c r="J53" s="13"/>
    </row>
    <row r="54">
      <c r="A54" s="30" t="s">
        <v>97</v>
      </c>
      <c r="B54" s="13"/>
      <c r="C54" s="48">
        <f>1/(1+C44)^4</f>
        <v>0.7038390934</v>
      </c>
      <c r="D54" s="13"/>
      <c r="E54" s="13"/>
      <c r="F54" s="13"/>
      <c r="G54" s="13"/>
      <c r="H54" s="13"/>
      <c r="I54" s="13"/>
      <c r="J54" s="13"/>
    </row>
    <row r="55">
      <c r="A55" s="30" t="s">
        <v>98</v>
      </c>
      <c r="B55" s="13"/>
      <c r="C55" s="48">
        <f>1/(1+C44)^5</f>
        <v>0.6446763399</v>
      </c>
      <c r="D55" s="13"/>
      <c r="E55" s="13"/>
      <c r="F55" s="13"/>
      <c r="G55" s="13"/>
      <c r="H55" s="13"/>
      <c r="I55" s="13"/>
      <c r="J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>
      <c r="A57" s="32" t="s">
        <v>99</v>
      </c>
      <c r="B57" s="13"/>
      <c r="C57" s="39">
        <f>C51*C30+C52*D30+C53*E30+C54*F30+C55*G30</f>
        <v>1349.083553</v>
      </c>
      <c r="D57" s="13"/>
      <c r="E57" s="13"/>
      <c r="F57" s="13"/>
      <c r="G57" s="13"/>
      <c r="H57" s="13"/>
      <c r="I57" s="13"/>
      <c r="J57" s="13"/>
    </row>
    <row r="58">
      <c r="A58" s="32" t="s">
        <v>100</v>
      </c>
      <c r="B58" s="13"/>
      <c r="C58" s="39">
        <f>C49*C55</f>
        <v>5065.558059</v>
      </c>
      <c r="D58" s="13"/>
      <c r="E58" s="13"/>
      <c r="F58" s="13"/>
      <c r="G58" s="13"/>
      <c r="H58" s="13"/>
      <c r="I58" s="13"/>
      <c r="J58" s="13"/>
    </row>
    <row r="59">
      <c r="A59" s="32" t="s">
        <v>101</v>
      </c>
      <c r="B59" s="13"/>
      <c r="C59" s="41">
        <f>C57+C58</f>
        <v>6414.641612</v>
      </c>
      <c r="D59" s="13"/>
      <c r="E59" s="13"/>
      <c r="F59" s="13"/>
      <c r="G59" s="13"/>
      <c r="H59" s="13"/>
      <c r="I59" s="13"/>
      <c r="J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>
      <c r="A61" s="30" t="s">
        <v>102</v>
      </c>
      <c r="B61" s="13"/>
      <c r="C61" s="33">
        <v>-1124.0</v>
      </c>
      <c r="D61" s="13"/>
      <c r="E61" s="13"/>
      <c r="F61" s="13"/>
      <c r="G61" s="13"/>
      <c r="H61" s="13"/>
      <c r="I61" s="13"/>
      <c r="J61" s="13"/>
    </row>
    <row r="62">
      <c r="A62" s="30" t="s">
        <v>103</v>
      </c>
      <c r="B62" s="13"/>
      <c r="C62" s="33">
        <v>287.3</v>
      </c>
      <c r="D62" s="13"/>
      <c r="E62" s="13"/>
      <c r="F62" s="13"/>
      <c r="G62" s="13"/>
      <c r="H62" s="13"/>
      <c r="I62" s="13"/>
      <c r="J62" s="13"/>
    </row>
    <row r="63">
      <c r="A63" s="30" t="s">
        <v>104</v>
      </c>
      <c r="B63" s="13"/>
      <c r="C63" s="33">
        <v>-42.0</v>
      </c>
      <c r="D63" s="13"/>
      <c r="E63" s="13"/>
      <c r="F63" s="13"/>
      <c r="G63" s="13"/>
      <c r="H63" s="13"/>
      <c r="I63" s="13"/>
      <c r="J63" s="13"/>
    </row>
    <row r="64">
      <c r="A64" s="32" t="s">
        <v>105</v>
      </c>
      <c r="B64" s="13"/>
      <c r="C64" s="41">
        <f>C59+C61+C62+C63</f>
        <v>5535.941612</v>
      </c>
      <c r="D64" s="13"/>
      <c r="E64" s="13"/>
      <c r="F64" s="13"/>
      <c r="G64" s="13"/>
      <c r="H64" s="13"/>
      <c r="I64" s="13"/>
      <c r="J64" s="13"/>
    </row>
    <row r="65">
      <c r="A65" s="30" t="s">
        <v>106</v>
      </c>
      <c r="B65" s="13"/>
      <c r="C65" s="49">
        <v>248.6</v>
      </c>
      <c r="D65" s="13"/>
      <c r="E65" s="13"/>
      <c r="F65" s="13"/>
      <c r="G65" s="13"/>
      <c r="H65" s="13"/>
      <c r="I65" s="13"/>
      <c r="J65" s="13"/>
    </row>
    <row r="66">
      <c r="A66" s="30" t="s">
        <v>107</v>
      </c>
      <c r="B66" s="13"/>
      <c r="C66" s="50">
        <f>C64/C65</f>
        <v>22.26846988</v>
      </c>
      <c r="D66" s="13"/>
      <c r="E66" s="13"/>
      <c r="F66" s="13"/>
      <c r="G66" s="13"/>
      <c r="H66" s="13"/>
      <c r="I66" s="13"/>
      <c r="J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>
      <c r="A70" s="27" t="s">
        <v>108</v>
      </c>
      <c r="B70" s="28"/>
      <c r="C70" s="28"/>
      <c r="D70" s="28"/>
      <c r="E70" s="28"/>
      <c r="F70" s="28"/>
      <c r="G70" s="28"/>
      <c r="H70" s="28"/>
      <c r="I70" s="28"/>
      <c r="J70" s="29"/>
    </row>
    <row r="71">
      <c r="A71" s="32" t="s">
        <v>109</v>
      </c>
      <c r="B71" s="13"/>
      <c r="C71" s="51">
        <v>0.015</v>
      </c>
      <c r="D71" s="51">
        <v>0.02</v>
      </c>
      <c r="E71" s="51">
        <v>0.025</v>
      </c>
      <c r="F71" s="51">
        <v>0.03</v>
      </c>
      <c r="G71" s="51">
        <v>0.035</v>
      </c>
      <c r="H71" s="13"/>
      <c r="I71" s="13"/>
      <c r="J71" s="13"/>
    </row>
    <row r="72">
      <c r="A72" s="51">
        <v>0.075</v>
      </c>
      <c r="B72" s="13"/>
      <c r="C72" s="52">
        <f>((C48*(1+0.015)/((0.075)-(0.015)))*(1/(1+0.075)^5)+C57+C61+C62+C63)/C65</f>
        <v>26.15390416</v>
      </c>
      <c r="D72" s="52">
        <f>((C48*(1+0.02)/((0.075)-(0.02)))*(1/(1+0.075)^5)+C57+C61+C62+C63)/C65</f>
        <v>28.48990121</v>
      </c>
      <c r="E72" s="52">
        <f>((C48*(1+0.025)/((0.075)-(0.025)))*(1/(1+0.075)^5)+C57+C61+C62+C63)/C65</f>
        <v>31.29309768</v>
      </c>
      <c r="F72" s="52">
        <f>((C48*(1+0.03)/((0.075)-(0.03)))*(1/(1+0.075)^5)+C57+C61+C62+C63)/C65</f>
        <v>34.71922668</v>
      </c>
      <c r="G72" s="52">
        <f>((C48*(1+0.035)/((0.075)-(0.035)))*(1/(1+0.075)^5)+C57+C61+C62+C63)/C65</f>
        <v>39.00188794</v>
      </c>
      <c r="H72" s="13"/>
      <c r="I72" s="13"/>
      <c r="J72" s="13"/>
    </row>
    <row r="73">
      <c r="A73" s="51">
        <v>0.0825</v>
      </c>
      <c r="B73" s="13"/>
      <c r="C73" s="53">
        <f>((C48*(1+0.015)/((0.0825)-(0.015)))*(1/(1+0.0825)^5)+C57+C61+C62+C63)/C65</f>
        <v>22.72134151</v>
      </c>
      <c r="D73" s="53">
        <f>((C48*(1+0.02)/((0.0825)-(0.02)))*(1/(1+0.0825)^5)+C57+C61+C62+C63)/C65</f>
        <v>24.49849392</v>
      </c>
      <c r="E73" s="53">
        <f>((C48*(1+0.025)/((0.0825)-(0.025)))*(1/(1+0.0825)^5)+C57+C61+C62+C63)/C65</f>
        <v>26.58471633</v>
      </c>
      <c r="F73" s="53">
        <f>((C48*(1+0.03)/((0.0825)-(0.03)))*(1/(1+0.0825)^5)+C57+C61+C62+C63)/C65</f>
        <v>29.06831443</v>
      </c>
      <c r="G73" s="53">
        <f>((C48*(1+0.035)/((0.0825)-(0.035)))*(1/(1+0.0825)^5)+C57+C61+C62+C63)/C65</f>
        <v>32.07477528</v>
      </c>
      <c r="H73" s="13"/>
      <c r="I73" s="13"/>
      <c r="J73" s="13"/>
    </row>
    <row r="74">
      <c r="A74" s="51">
        <v>0.09</v>
      </c>
      <c r="B74" s="13"/>
      <c r="C74" s="52">
        <f>((C48*(1+0.015)/((0.09)-(0.015)))*(1/(1+0.09)^5)+C57+C61+C62+C63)/C65</f>
        <v>20.00229367</v>
      </c>
      <c r="D74" s="52">
        <f>((C48*(1+0.02)/((0.09)-(0.02)))*(1/(1+0.09)^5)+C57+C61+C62+C63)/C65</f>
        <v>21.39146174</v>
      </c>
      <c r="E74" s="54">
        <f>((C48*(1+0.025)/((0.09)-(0.025)))*(1/(1+0.09)^5)+C57+C61+C62+C63)/C65</f>
        <v>22.99434797</v>
      </c>
      <c r="F74" s="52">
        <f>((C48*(1+0.03)/((0.09)-(0.03)))*(1/(1+0.09)^5)+C57+C61+C62+C63)/C65</f>
        <v>24.86438191</v>
      </c>
      <c r="G74" s="52">
        <f>((C48*(1+0.035)/((0.09)-(0.035)))*(1/(1+0.09)^5)+C57+C61+C62+C63)/C65</f>
        <v>27.07442202</v>
      </c>
      <c r="H74" s="13"/>
      <c r="I74" s="13"/>
      <c r="J74" s="13"/>
    </row>
    <row r="75">
      <c r="A75" s="51">
        <v>0.0975</v>
      </c>
      <c r="B75" s="13"/>
      <c r="C75" s="53">
        <f>((C48*(1+0.015)/((0.0975)-(0.015)))*(1/(1+0.0975)^5)+C57+C61+C62+C63)/C65</f>
        <v>17.80100743</v>
      </c>
      <c r="D75" s="53">
        <f>((C48*(1+0.02)/((0.0975)-(0.02)))*(1/(1+0.0975)^5)+C57+C61+C62+C63)/C65</f>
        <v>18.91081151</v>
      </c>
      <c r="E75" s="53">
        <f>((C48*(1+0.025)/((0.0975)-(0.025)))*(1/(1+0.0975)^5)+C57+C61+C62+C63)/C65</f>
        <v>20.17369203</v>
      </c>
      <c r="F75" s="53">
        <f>((C48*(1+0.03)/((0.0975)-(0.03)))*(1/(1+0.0975)^5)+C57+C61+C62+C63)/C65</f>
        <v>21.62366595</v>
      </c>
      <c r="G75" s="53">
        <f>((C48*(1+0.035)/((0.0975)-(0.035)))*(1/(1+0.0975)^5)+C57+C61+C62+C63)/C65</f>
        <v>23.3056357</v>
      </c>
      <c r="H75" s="13"/>
      <c r="I75" s="13"/>
      <c r="J75" s="13"/>
    </row>
    <row r="76">
      <c r="A76" s="51">
        <v>0.105</v>
      </c>
      <c r="B76" s="13"/>
      <c r="C76" s="52">
        <f>((C48*(1+0.015)/((0.105)-(0.015)))*(1/(1+0.105)^5)+C57+C61+C62+C63)/C65</f>
        <v>15.98703749</v>
      </c>
      <c r="D76" s="52">
        <f>((C48*(1+0.02)/((0.105)-(0.02)))*(1/(1+0.105)^5)+C57+C61+C62+C63)/C65</f>
        <v>16.88966702</v>
      </c>
      <c r="E76" s="52">
        <f>((C48*(1+0.025)/((0.105)-(0.025)))*(1/(1+0.105)^5)+C57+C61+C62+C63)/C65</f>
        <v>17.90512525</v>
      </c>
      <c r="F76" s="52">
        <f>((C48*(1+0.03)/((0.105)-(0.03)))*(1/(1+0.105)^5)+C57+C61+C62+C63)/C65</f>
        <v>19.05597791</v>
      </c>
      <c r="G76" s="52">
        <f>((C48*(1+0.035)/((0.105)-(0.035)))*(1/(1+0.105)^5)+C57+C61+C62+C63)/C65</f>
        <v>20.37123809</v>
      </c>
      <c r="H76" s="13"/>
      <c r="I76" s="13"/>
      <c r="J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</row>
  </sheetData>
  <mergeCells count="7">
    <mergeCell ref="A1:J1"/>
    <mergeCell ref="A2:J2"/>
    <mergeCell ref="A6:J6"/>
    <mergeCell ref="A16:J16"/>
    <mergeCell ref="A32:J32"/>
    <mergeCell ref="A46:J46"/>
    <mergeCell ref="A70:J7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12" width="13.0"/>
    <col customWidth="1" min="13" max="26" width="8.71"/>
  </cols>
  <sheetData>
    <row r="1" ht="24.0" customHeight="1">
      <c r="A1" s="22" t="s">
        <v>110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ht="15.75" customHeight="1">
      <c r="A2" s="23" t="s">
        <v>111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ht="31.5" customHeight="1">
      <c r="A4" s="55" t="s">
        <v>112</v>
      </c>
      <c r="B4" s="55" t="s">
        <v>113</v>
      </c>
      <c r="C4" s="55" t="s">
        <v>114</v>
      </c>
      <c r="D4" s="55" t="s">
        <v>115</v>
      </c>
      <c r="E4" s="55" t="s">
        <v>116</v>
      </c>
      <c r="F4" s="55" t="s">
        <v>117</v>
      </c>
      <c r="G4" s="55" t="s">
        <v>118</v>
      </c>
      <c r="H4" s="55" t="s">
        <v>119</v>
      </c>
      <c r="I4" s="55" t="s">
        <v>120</v>
      </c>
      <c r="J4" s="55" t="s">
        <v>121</v>
      </c>
      <c r="K4" s="55" t="s">
        <v>122</v>
      </c>
      <c r="L4" s="55" t="s">
        <v>123</v>
      </c>
    </row>
    <row r="5" ht="15.75" customHeight="1">
      <c r="A5" s="30" t="s">
        <v>124</v>
      </c>
      <c r="B5" s="56" t="s">
        <v>125</v>
      </c>
      <c r="C5" s="57">
        <v>21450.0</v>
      </c>
      <c r="D5" s="57">
        <v>8240.0</v>
      </c>
      <c r="E5" s="58">
        <f t="shared" ref="E5:E13" si="1">C5+D5</f>
        <v>29690</v>
      </c>
      <c r="F5" s="57">
        <v>3810.0</v>
      </c>
      <c r="G5" s="57">
        <v>1562.0</v>
      </c>
      <c r="H5" s="59">
        <f t="shared" ref="H5:H13" si="2">E5/F5</f>
        <v>7.792650919</v>
      </c>
      <c r="I5" s="59">
        <f t="shared" ref="I5:I13" si="3">E5/G5</f>
        <v>19.00768246</v>
      </c>
      <c r="J5" s="60">
        <v>18.4</v>
      </c>
      <c r="K5" s="61">
        <f t="shared" ref="K5:K13" si="4">G5/F5</f>
        <v>0.4099737533</v>
      </c>
      <c r="L5" s="59">
        <f t="shared" ref="L5:L13" si="5">D5/G5</f>
        <v>5.275288092</v>
      </c>
    </row>
    <row r="6" ht="15.75" customHeight="1">
      <c r="A6" s="30" t="s">
        <v>126</v>
      </c>
      <c r="B6" s="62" t="s">
        <v>127</v>
      </c>
      <c r="C6" s="63">
        <v>46800.0</v>
      </c>
      <c r="D6" s="63">
        <v>22100.0</v>
      </c>
      <c r="E6" s="64">
        <f t="shared" si="1"/>
        <v>68900</v>
      </c>
      <c r="F6" s="63">
        <v>14220.0</v>
      </c>
      <c r="G6" s="63">
        <v>5890.0</v>
      </c>
      <c r="H6" s="65">
        <f t="shared" si="2"/>
        <v>4.845288326</v>
      </c>
      <c r="I6" s="65">
        <f t="shared" si="3"/>
        <v>11.69779287</v>
      </c>
      <c r="J6" s="66">
        <v>21.2</v>
      </c>
      <c r="K6" s="67">
        <f t="shared" si="4"/>
        <v>0.4142053446</v>
      </c>
      <c r="L6" s="65">
        <f t="shared" si="5"/>
        <v>3.752122241</v>
      </c>
    </row>
    <row r="7" ht="15.75" customHeight="1">
      <c r="A7" s="30" t="s">
        <v>128</v>
      </c>
      <c r="B7" s="56" t="s">
        <v>129</v>
      </c>
      <c r="C7" s="57">
        <v>98400.0</v>
      </c>
      <c r="D7" s="57">
        <v>64200.0</v>
      </c>
      <c r="E7" s="58">
        <f t="shared" si="1"/>
        <v>162600</v>
      </c>
      <c r="F7" s="57">
        <v>17850.0</v>
      </c>
      <c r="G7" s="57">
        <v>8340.0</v>
      </c>
      <c r="H7" s="59">
        <f t="shared" si="2"/>
        <v>9.109243697</v>
      </c>
      <c r="I7" s="59">
        <f t="shared" si="3"/>
        <v>19.49640288</v>
      </c>
      <c r="J7" s="60">
        <v>22.8</v>
      </c>
      <c r="K7" s="61">
        <f t="shared" si="4"/>
        <v>0.4672268908</v>
      </c>
      <c r="L7" s="59">
        <f t="shared" si="5"/>
        <v>7.697841727</v>
      </c>
    </row>
    <row r="8" ht="15.75" customHeight="1">
      <c r="A8" s="30" t="s">
        <v>130</v>
      </c>
      <c r="B8" s="62" t="s">
        <v>131</v>
      </c>
      <c r="C8" s="63">
        <v>3120.0</v>
      </c>
      <c r="D8" s="63">
        <v>980.0</v>
      </c>
      <c r="E8" s="64">
        <f t="shared" si="1"/>
        <v>4100</v>
      </c>
      <c r="F8" s="63">
        <v>7240.0</v>
      </c>
      <c r="G8" s="63">
        <v>428.0</v>
      </c>
      <c r="H8" s="65">
        <f t="shared" si="2"/>
        <v>0.5662983425</v>
      </c>
      <c r="I8" s="65">
        <f t="shared" si="3"/>
        <v>9.579439252</v>
      </c>
      <c r="J8" s="66">
        <v>16.9</v>
      </c>
      <c r="K8" s="67">
        <f t="shared" si="4"/>
        <v>0.0591160221</v>
      </c>
      <c r="L8" s="65">
        <f t="shared" si="5"/>
        <v>2.289719626</v>
      </c>
    </row>
    <row r="9" ht="15.75" customHeight="1">
      <c r="A9" s="30" t="s">
        <v>132</v>
      </c>
      <c r="B9" s="56" t="s">
        <v>133</v>
      </c>
      <c r="C9" s="57">
        <v>5840.0</v>
      </c>
      <c r="D9" s="57">
        <v>2210.0</v>
      </c>
      <c r="E9" s="58">
        <f t="shared" si="1"/>
        <v>8050</v>
      </c>
      <c r="F9" s="57">
        <v>2180.0</v>
      </c>
      <c r="G9" s="57">
        <v>642.0</v>
      </c>
      <c r="H9" s="59">
        <f t="shared" si="2"/>
        <v>3.69266055</v>
      </c>
      <c r="I9" s="59">
        <f t="shared" si="3"/>
        <v>12.53894081</v>
      </c>
      <c r="J9" s="60">
        <v>17.6</v>
      </c>
      <c r="K9" s="61">
        <f t="shared" si="4"/>
        <v>0.2944954128</v>
      </c>
      <c r="L9" s="59">
        <f t="shared" si="5"/>
        <v>3.442367601</v>
      </c>
    </row>
    <row r="10" ht="15.75" customHeight="1">
      <c r="A10" s="30" t="s">
        <v>134</v>
      </c>
      <c r="B10" s="62" t="s">
        <v>135</v>
      </c>
      <c r="C10" s="63">
        <v>8650.0</v>
      </c>
      <c r="D10" s="63">
        <v>4320.0</v>
      </c>
      <c r="E10" s="64">
        <f t="shared" si="1"/>
        <v>12970</v>
      </c>
      <c r="F10" s="63">
        <v>2940.0</v>
      </c>
      <c r="G10" s="63">
        <v>884.0</v>
      </c>
      <c r="H10" s="65">
        <f t="shared" si="2"/>
        <v>4.411564626</v>
      </c>
      <c r="I10" s="65">
        <f t="shared" si="3"/>
        <v>14.6719457</v>
      </c>
      <c r="J10" s="66">
        <v>19.3</v>
      </c>
      <c r="K10" s="67">
        <f t="shared" si="4"/>
        <v>0.3006802721</v>
      </c>
      <c r="L10" s="65">
        <f t="shared" si="5"/>
        <v>4.886877828</v>
      </c>
    </row>
    <row r="11" ht="15.75" customHeight="1">
      <c r="A11" s="30" t="s">
        <v>136</v>
      </c>
      <c r="B11" s="56" t="s">
        <v>137</v>
      </c>
      <c r="C11" s="57">
        <v>23100.0</v>
      </c>
      <c r="D11" s="57">
        <v>10800.0</v>
      </c>
      <c r="E11" s="58">
        <f t="shared" si="1"/>
        <v>33900</v>
      </c>
      <c r="F11" s="57">
        <v>16500.0</v>
      </c>
      <c r="G11" s="57">
        <v>3240.0</v>
      </c>
      <c r="H11" s="59">
        <f t="shared" si="2"/>
        <v>2.054545455</v>
      </c>
      <c r="I11" s="59">
        <f t="shared" si="3"/>
        <v>10.46296296</v>
      </c>
      <c r="J11" s="60">
        <v>20.5</v>
      </c>
      <c r="K11" s="61">
        <f t="shared" si="4"/>
        <v>0.1963636364</v>
      </c>
      <c r="L11" s="59">
        <f t="shared" si="5"/>
        <v>3.333333333</v>
      </c>
    </row>
    <row r="12" ht="15.75" customHeight="1">
      <c r="A12" s="30" t="s">
        <v>138</v>
      </c>
      <c r="B12" s="62" t="s">
        <v>139</v>
      </c>
      <c r="C12" s="63">
        <v>3240.0</v>
      </c>
      <c r="D12" s="63">
        <v>3810.0</v>
      </c>
      <c r="E12" s="64">
        <f t="shared" si="1"/>
        <v>7050</v>
      </c>
      <c r="F12" s="63">
        <v>4100.0</v>
      </c>
      <c r="G12" s="63">
        <v>682.0</v>
      </c>
      <c r="H12" s="65">
        <f t="shared" si="2"/>
        <v>1.719512195</v>
      </c>
      <c r="I12" s="65">
        <f t="shared" si="3"/>
        <v>10.3372434</v>
      </c>
      <c r="J12" s="66">
        <v>15.8</v>
      </c>
      <c r="K12" s="67">
        <f t="shared" si="4"/>
        <v>0.1663414634</v>
      </c>
      <c r="L12" s="65">
        <f t="shared" si="5"/>
        <v>5.586510264</v>
      </c>
    </row>
    <row r="13" ht="15.75" customHeight="1">
      <c r="A13" s="30" t="s">
        <v>140</v>
      </c>
      <c r="B13" s="56" t="s">
        <v>141</v>
      </c>
      <c r="C13" s="57">
        <v>1180.0</v>
      </c>
      <c r="D13" s="57">
        <v>1640.0</v>
      </c>
      <c r="E13" s="58">
        <f t="shared" si="1"/>
        <v>2820</v>
      </c>
      <c r="F13" s="57">
        <v>1920.0</v>
      </c>
      <c r="G13" s="57">
        <v>388.0</v>
      </c>
      <c r="H13" s="59">
        <f t="shared" si="2"/>
        <v>1.46875</v>
      </c>
      <c r="I13" s="59">
        <f t="shared" si="3"/>
        <v>7.268041237</v>
      </c>
      <c r="J13" s="60">
        <v>14.2</v>
      </c>
      <c r="K13" s="61">
        <f t="shared" si="4"/>
        <v>0.2020833333</v>
      </c>
      <c r="L13" s="59">
        <f t="shared" si="5"/>
        <v>4.226804124</v>
      </c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ht="15.75" customHeight="1">
      <c r="A15" s="40" t="s">
        <v>142</v>
      </c>
      <c r="B15" s="13"/>
      <c r="C15" s="41">
        <f t="shared" ref="C15:L15" si="6">PERCENTILE(C5:C13,0.25)</f>
        <v>3240</v>
      </c>
      <c r="D15" s="41">
        <f t="shared" si="6"/>
        <v>2210</v>
      </c>
      <c r="E15" s="41">
        <f t="shared" si="6"/>
        <v>7050</v>
      </c>
      <c r="F15" s="41">
        <f t="shared" si="6"/>
        <v>2940</v>
      </c>
      <c r="G15" s="41">
        <f t="shared" si="6"/>
        <v>642</v>
      </c>
      <c r="H15" s="68">
        <f t="shared" si="6"/>
        <v>1.719512195</v>
      </c>
      <c r="I15" s="68">
        <f t="shared" si="6"/>
        <v>10.3372434</v>
      </c>
      <c r="J15" s="68">
        <f t="shared" si="6"/>
        <v>16.9</v>
      </c>
      <c r="K15" s="69">
        <f t="shared" si="6"/>
        <v>0.1963636364</v>
      </c>
      <c r="L15" s="68">
        <f t="shared" si="6"/>
        <v>3.442367601</v>
      </c>
    </row>
    <row r="16" ht="15.75" customHeight="1">
      <c r="A16" s="40" t="s">
        <v>143</v>
      </c>
      <c r="B16" s="13"/>
      <c r="C16" s="41">
        <f t="shared" ref="C16:L16" si="7">MEDIAN(C5:C13)</f>
        <v>8650</v>
      </c>
      <c r="D16" s="41">
        <f t="shared" si="7"/>
        <v>4320</v>
      </c>
      <c r="E16" s="41">
        <f t="shared" si="7"/>
        <v>12970</v>
      </c>
      <c r="F16" s="41">
        <f t="shared" si="7"/>
        <v>4100</v>
      </c>
      <c r="G16" s="41">
        <f t="shared" si="7"/>
        <v>884</v>
      </c>
      <c r="H16" s="68">
        <f t="shared" si="7"/>
        <v>3.69266055</v>
      </c>
      <c r="I16" s="68">
        <f t="shared" si="7"/>
        <v>11.69779287</v>
      </c>
      <c r="J16" s="68">
        <f t="shared" si="7"/>
        <v>18.4</v>
      </c>
      <c r="K16" s="69">
        <f t="shared" si="7"/>
        <v>0.2944954128</v>
      </c>
      <c r="L16" s="68">
        <f t="shared" si="7"/>
        <v>4.226804124</v>
      </c>
    </row>
    <row r="17" ht="15.75" customHeight="1">
      <c r="A17" s="40" t="s">
        <v>144</v>
      </c>
      <c r="B17" s="13"/>
      <c r="C17" s="41">
        <f t="shared" ref="C17:L17" si="8">PERCENTILE(C5:C13,0.75)</f>
        <v>23100</v>
      </c>
      <c r="D17" s="41">
        <f t="shared" si="8"/>
        <v>10800</v>
      </c>
      <c r="E17" s="41">
        <f t="shared" si="8"/>
        <v>33900</v>
      </c>
      <c r="F17" s="41">
        <f t="shared" si="8"/>
        <v>14220</v>
      </c>
      <c r="G17" s="41">
        <f t="shared" si="8"/>
        <v>3240</v>
      </c>
      <c r="H17" s="68">
        <f t="shared" si="8"/>
        <v>4.845288326</v>
      </c>
      <c r="I17" s="68">
        <f t="shared" si="8"/>
        <v>14.6719457</v>
      </c>
      <c r="J17" s="68">
        <f t="shared" si="8"/>
        <v>20.5</v>
      </c>
      <c r="K17" s="69">
        <f t="shared" si="8"/>
        <v>0.4099737533</v>
      </c>
      <c r="L17" s="68">
        <f t="shared" si="8"/>
        <v>5.275288092</v>
      </c>
    </row>
    <row r="18" ht="15.75" customHeight="1">
      <c r="A18" s="40" t="s">
        <v>145</v>
      </c>
      <c r="B18" s="13"/>
      <c r="C18" s="41">
        <f t="shared" ref="C18:L18" si="9">AVERAGE(C5:C13)</f>
        <v>23531.11111</v>
      </c>
      <c r="D18" s="41">
        <f t="shared" si="9"/>
        <v>13144.44444</v>
      </c>
      <c r="E18" s="41">
        <f t="shared" si="9"/>
        <v>36675.55556</v>
      </c>
      <c r="F18" s="41">
        <f t="shared" si="9"/>
        <v>7862.222222</v>
      </c>
      <c r="G18" s="41">
        <f t="shared" si="9"/>
        <v>2450.666667</v>
      </c>
      <c r="H18" s="68">
        <f t="shared" si="9"/>
        <v>3.962279346</v>
      </c>
      <c r="I18" s="68">
        <f t="shared" si="9"/>
        <v>12.78449462</v>
      </c>
      <c r="J18" s="68">
        <f t="shared" si="9"/>
        <v>18.52222222</v>
      </c>
      <c r="K18" s="69">
        <f t="shared" si="9"/>
        <v>0.2789429032</v>
      </c>
      <c r="L18" s="68">
        <f t="shared" si="9"/>
        <v>4.498984982</v>
      </c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ht="15.0" customHeight="1">
      <c r="A20" s="27" t="s">
        <v>146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ht="15.0" customHeight="1">
      <c r="A21" s="30" t="s">
        <v>147</v>
      </c>
      <c r="B21" s="33">
        <v>1928.4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ht="15.0" customHeight="1">
      <c r="A22" s="30" t="s">
        <v>148</v>
      </c>
      <c r="B22" s="33">
        <v>586.2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ht="15.0" customHeight="1">
      <c r="A23" s="30" t="s">
        <v>149</v>
      </c>
      <c r="B23" s="33">
        <v>836.7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ht="15.0" customHeight="1">
      <c r="A24" s="30" t="s">
        <v>150</v>
      </c>
      <c r="B24" s="49">
        <v>248.6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ht="19.5" customHeight="1">
      <c r="A26" s="55" t="s">
        <v>151</v>
      </c>
      <c r="B26" s="55" t="s">
        <v>152</v>
      </c>
      <c r="C26" s="55" t="s">
        <v>153</v>
      </c>
      <c r="D26" s="55" t="s">
        <v>154</v>
      </c>
      <c r="E26" s="55" t="s">
        <v>155</v>
      </c>
      <c r="F26" s="55" t="s">
        <v>156</v>
      </c>
      <c r="G26" s="13"/>
      <c r="H26" s="13"/>
      <c r="I26" s="13"/>
      <c r="J26" s="13"/>
      <c r="K26" s="13"/>
      <c r="L26" s="13"/>
    </row>
    <row r="27" ht="15.75" customHeight="1">
      <c r="A27" s="70" t="s">
        <v>157</v>
      </c>
      <c r="B27" s="71">
        <f>PERCENTILE(I5:I13,0.25)</f>
        <v>10.3372434</v>
      </c>
      <c r="C27" s="39">
        <f>B27*B22</f>
        <v>6059.692082</v>
      </c>
      <c r="D27" s="39">
        <f>-B23</f>
        <v>-836.7</v>
      </c>
      <c r="E27" s="72">
        <f t="shared" ref="E27:E30" si="10">C27+D27</f>
        <v>5222.992082</v>
      </c>
      <c r="F27" s="73">
        <f>E27/B24</f>
        <v>21.00962221</v>
      </c>
      <c r="G27" s="13"/>
      <c r="H27" s="13"/>
      <c r="I27" s="13"/>
      <c r="J27" s="13"/>
      <c r="K27" s="13"/>
      <c r="L27" s="13"/>
    </row>
    <row r="28" ht="15.75" customHeight="1">
      <c r="A28" s="70" t="s">
        <v>158</v>
      </c>
      <c r="B28" s="71">
        <f>MEDIAN(I5:I13)</f>
        <v>11.69779287</v>
      </c>
      <c r="C28" s="39">
        <f>B27*B22</f>
        <v>6059.692082</v>
      </c>
      <c r="D28" s="39">
        <f>-B23</f>
        <v>-836.7</v>
      </c>
      <c r="E28" s="72">
        <f t="shared" si="10"/>
        <v>5222.992082</v>
      </c>
      <c r="F28" s="73">
        <f>E28/B24</f>
        <v>21.00962221</v>
      </c>
      <c r="G28" s="13"/>
      <c r="H28" s="13"/>
      <c r="I28" s="13"/>
      <c r="J28" s="13"/>
      <c r="K28" s="13"/>
      <c r="L28" s="13"/>
    </row>
    <row r="29" ht="15.75" customHeight="1">
      <c r="A29" s="70" t="s">
        <v>159</v>
      </c>
      <c r="B29" s="71">
        <f>PERCENTILE(I5:I13,0.75)</f>
        <v>14.6719457</v>
      </c>
      <c r="C29" s="39">
        <f>B27*B22</f>
        <v>6059.692082</v>
      </c>
      <c r="D29" s="39">
        <f>-B23</f>
        <v>-836.7</v>
      </c>
      <c r="E29" s="72">
        <f t="shared" si="10"/>
        <v>5222.992082</v>
      </c>
      <c r="F29" s="73">
        <f>E29/B24</f>
        <v>21.00962221</v>
      </c>
      <c r="G29" s="13"/>
      <c r="H29" s="13"/>
      <c r="I29" s="13"/>
      <c r="J29" s="13"/>
      <c r="K29" s="13"/>
      <c r="L29" s="13"/>
    </row>
    <row r="30" ht="15.75" customHeight="1">
      <c r="A30" s="70" t="s">
        <v>160</v>
      </c>
      <c r="B30" s="71">
        <f>MEDIAN(H5:H13)</f>
        <v>3.69266055</v>
      </c>
      <c r="C30" s="39">
        <f>B27*B21</f>
        <v>19934.34018</v>
      </c>
      <c r="D30" s="39">
        <f>-B23</f>
        <v>-836.7</v>
      </c>
      <c r="E30" s="72">
        <f t="shared" si="10"/>
        <v>19097.64018</v>
      </c>
      <c r="F30" s="73">
        <f>E30/B24</f>
        <v>76.82075694</v>
      </c>
      <c r="G30" s="13"/>
      <c r="H30" s="13"/>
      <c r="I30" s="13"/>
      <c r="J30" s="13"/>
      <c r="K30" s="13"/>
      <c r="L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</row>
  </sheetData>
  <mergeCells count="3">
    <mergeCell ref="A1:L1"/>
    <mergeCell ref="A2:L2"/>
    <mergeCell ref="A20:L2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4" width="14.0"/>
    <col customWidth="1" min="5" max="7" width="16.0"/>
    <col customWidth="1" min="8" max="9" width="13.0"/>
    <col customWidth="1" min="10" max="11" width="12.0"/>
    <col customWidth="1" min="12" max="26" width="8.71"/>
  </cols>
  <sheetData>
    <row r="1" ht="24.0" customHeight="1">
      <c r="A1" s="22" t="s">
        <v>161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ht="15.75" customHeight="1">
      <c r="A2" s="23" t="s">
        <v>162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31.5" customHeight="1">
      <c r="A4" s="74" t="s">
        <v>163</v>
      </c>
      <c r="B4" s="74" t="s">
        <v>164</v>
      </c>
      <c r="C4" s="74" t="s">
        <v>165</v>
      </c>
      <c r="D4" s="74" t="s">
        <v>166</v>
      </c>
      <c r="E4" s="74" t="s">
        <v>167</v>
      </c>
      <c r="F4" s="74" t="s">
        <v>168</v>
      </c>
      <c r="G4" s="74" t="s">
        <v>169</v>
      </c>
      <c r="H4" s="74" t="s">
        <v>119</v>
      </c>
      <c r="I4" s="74" t="s">
        <v>120</v>
      </c>
      <c r="J4" s="74" t="s">
        <v>170</v>
      </c>
      <c r="K4" s="74" t="s">
        <v>171</v>
      </c>
    </row>
    <row r="5" ht="15.75" customHeight="1">
      <c r="A5" s="70" t="s">
        <v>172</v>
      </c>
      <c r="B5" s="70" t="s">
        <v>173</v>
      </c>
      <c r="C5" s="56" t="s">
        <v>174</v>
      </c>
      <c r="D5" s="56" t="s">
        <v>175</v>
      </c>
      <c r="E5" s="57">
        <v>3740.0</v>
      </c>
      <c r="F5" s="57">
        <v>1680.0</v>
      </c>
      <c r="G5" s="57">
        <v>37000.0</v>
      </c>
      <c r="H5" s="59">
        <f t="shared" ref="H5:H16" si="1">G5/E5</f>
        <v>9.893048128</v>
      </c>
      <c r="I5" s="59">
        <f t="shared" ref="I5:I16" si="2">G5/F5</f>
        <v>22.02380952</v>
      </c>
      <c r="J5" s="61">
        <f t="shared" ref="J5:J16" si="3">(G5/F5-12.5)/12.5</f>
        <v>0.7619047619</v>
      </c>
      <c r="K5" s="56" t="s">
        <v>176</v>
      </c>
    </row>
    <row r="6" ht="15.75" customHeight="1">
      <c r="A6" s="38" t="s">
        <v>177</v>
      </c>
      <c r="B6" s="38" t="s">
        <v>178</v>
      </c>
      <c r="C6" s="62" t="s">
        <v>179</v>
      </c>
      <c r="D6" s="62" t="s">
        <v>180</v>
      </c>
      <c r="E6" s="63">
        <v>1120.0</v>
      </c>
      <c r="F6" s="63">
        <v>504.0</v>
      </c>
      <c r="G6" s="63">
        <v>9700.0</v>
      </c>
      <c r="H6" s="65">
        <f t="shared" si="1"/>
        <v>8.660714286</v>
      </c>
      <c r="I6" s="65">
        <f t="shared" si="2"/>
        <v>19.24603175</v>
      </c>
      <c r="J6" s="67">
        <f t="shared" si="3"/>
        <v>0.5396825397</v>
      </c>
      <c r="K6" s="62" t="s">
        <v>176</v>
      </c>
    </row>
    <row r="7" ht="15.75" customHeight="1">
      <c r="A7" s="70" t="s">
        <v>181</v>
      </c>
      <c r="B7" s="70" t="s">
        <v>182</v>
      </c>
      <c r="C7" s="56" t="s">
        <v>183</v>
      </c>
      <c r="D7" s="56" t="s">
        <v>184</v>
      </c>
      <c r="E7" s="57">
        <v>880.0</v>
      </c>
      <c r="F7" s="57">
        <v>310.0</v>
      </c>
      <c r="G7" s="57">
        <v>3200.0</v>
      </c>
      <c r="H7" s="59">
        <f t="shared" si="1"/>
        <v>3.636363636</v>
      </c>
      <c r="I7" s="59">
        <f t="shared" si="2"/>
        <v>10.32258065</v>
      </c>
      <c r="J7" s="61">
        <f t="shared" si="3"/>
        <v>-0.1741935484</v>
      </c>
      <c r="K7" s="56" t="s">
        <v>176</v>
      </c>
    </row>
    <row r="8" ht="15.75" customHeight="1">
      <c r="A8" s="38" t="s">
        <v>185</v>
      </c>
      <c r="B8" s="38" t="s">
        <v>186</v>
      </c>
      <c r="C8" s="62" t="s">
        <v>187</v>
      </c>
      <c r="D8" s="62" t="s">
        <v>188</v>
      </c>
      <c r="E8" s="63">
        <v>540.0</v>
      </c>
      <c r="F8" s="63">
        <v>228.0</v>
      </c>
      <c r="G8" s="63">
        <v>1850.0</v>
      </c>
      <c r="H8" s="65">
        <f t="shared" si="1"/>
        <v>3.425925926</v>
      </c>
      <c r="I8" s="65">
        <f t="shared" si="2"/>
        <v>8.114035088</v>
      </c>
      <c r="J8" s="67">
        <f t="shared" si="3"/>
        <v>-0.350877193</v>
      </c>
      <c r="K8" s="62" t="s">
        <v>176</v>
      </c>
    </row>
    <row r="9" ht="15.75" customHeight="1">
      <c r="A9" s="70" t="s">
        <v>189</v>
      </c>
      <c r="B9" s="70" t="s">
        <v>190</v>
      </c>
      <c r="C9" s="56" t="s">
        <v>191</v>
      </c>
      <c r="D9" s="56" t="s">
        <v>192</v>
      </c>
      <c r="E9" s="57">
        <v>620.0</v>
      </c>
      <c r="F9" s="57">
        <v>248.0</v>
      </c>
      <c r="G9" s="57">
        <v>3100.0</v>
      </c>
      <c r="H9" s="59">
        <f t="shared" si="1"/>
        <v>5</v>
      </c>
      <c r="I9" s="59">
        <f t="shared" si="2"/>
        <v>12.5</v>
      </c>
      <c r="J9" s="61">
        <f t="shared" si="3"/>
        <v>0</v>
      </c>
      <c r="K9" s="56" t="s">
        <v>193</v>
      </c>
    </row>
    <row r="10" ht="15.75" customHeight="1">
      <c r="A10" s="38" t="s">
        <v>194</v>
      </c>
      <c r="B10" s="38" t="s">
        <v>195</v>
      </c>
      <c r="C10" s="62" t="s">
        <v>196</v>
      </c>
      <c r="D10" s="62" t="s">
        <v>196</v>
      </c>
      <c r="E10" s="63">
        <v>680.0</v>
      </c>
      <c r="F10" s="63">
        <v>295.0</v>
      </c>
      <c r="G10" s="63">
        <v>1600.0</v>
      </c>
      <c r="H10" s="65">
        <f t="shared" si="1"/>
        <v>2.352941176</v>
      </c>
      <c r="I10" s="65">
        <f t="shared" si="2"/>
        <v>5.423728814</v>
      </c>
      <c r="J10" s="67">
        <f t="shared" si="3"/>
        <v>-0.5661016949</v>
      </c>
      <c r="K10" s="62" t="s">
        <v>176</v>
      </c>
    </row>
    <row r="11" ht="15.75" customHeight="1">
      <c r="A11" s="70" t="s">
        <v>134</v>
      </c>
      <c r="B11" s="70" t="s">
        <v>190</v>
      </c>
      <c r="C11" s="56" t="s">
        <v>197</v>
      </c>
      <c r="D11" s="56" t="s">
        <v>198</v>
      </c>
      <c r="E11" s="57">
        <v>2940.0</v>
      </c>
      <c r="F11" s="57">
        <v>884.0</v>
      </c>
      <c r="G11" s="57">
        <v>16000.0</v>
      </c>
      <c r="H11" s="59">
        <f t="shared" si="1"/>
        <v>5.442176871</v>
      </c>
      <c r="I11" s="59">
        <f t="shared" si="2"/>
        <v>18.09954751</v>
      </c>
      <c r="J11" s="61">
        <f t="shared" si="3"/>
        <v>0.4479638009</v>
      </c>
      <c r="K11" s="56" t="s">
        <v>193</v>
      </c>
    </row>
    <row r="12" ht="15.75" customHeight="1">
      <c r="A12" s="38" t="s">
        <v>199</v>
      </c>
      <c r="B12" s="38" t="s">
        <v>200</v>
      </c>
      <c r="C12" s="62" t="s">
        <v>201</v>
      </c>
      <c r="D12" s="62" t="s">
        <v>202</v>
      </c>
      <c r="E12" s="63">
        <v>440.0</v>
      </c>
      <c r="F12" s="63">
        <v>198.0</v>
      </c>
      <c r="G12" s="63">
        <v>4350.0</v>
      </c>
      <c r="H12" s="65">
        <f t="shared" si="1"/>
        <v>9.886363636</v>
      </c>
      <c r="I12" s="65">
        <f t="shared" si="2"/>
        <v>21.96969697</v>
      </c>
      <c r="J12" s="67">
        <f t="shared" si="3"/>
        <v>0.7575757576</v>
      </c>
      <c r="K12" s="62" t="s">
        <v>176</v>
      </c>
    </row>
    <row r="13" ht="15.75" customHeight="1">
      <c r="A13" s="70" t="s">
        <v>203</v>
      </c>
      <c r="B13" s="70" t="s">
        <v>132</v>
      </c>
      <c r="C13" s="56" t="s">
        <v>204</v>
      </c>
      <c r="D13" s="56" t="s">
        <v>205</v>
      </c>
      <c r="E13" s="57">
        <v>2100.0</v>
      </c>
      <c r="F13" s="57">
        <v>840.0</v>
      </c>
      <c r="G13" s="57">
        <v>7200.0</v>
      </c>
      <c r="H13" s="59">
        <f t="shared" si="1"/>
        <v>3.428571429</v>
      </c>
      <c r="I13" s="59">
        <f t="shared" si="2"/>
        <v>8.571428571</v>
      </c>
      <c r="J13" s="61">
        <f t="shared" si="3"/>
        <v>-0.3142857143</v>
      </c>
      <c r="K13" s="56" t="s">
        <v>176</v>
      </c>
    </row>
    <row r="14" ht="15.75" customHeight="1">
      <c r="A14" s="38" t="s">
        <v>206</v>
      </c>
      <c r="B14" s="38" t="s">
        <v>207</v>
      </c>
      <c r="C14" s="62" t="s">
        <v>208</v>
      </c>
      <c r="D14" s="62" t="s">
        <v>209</v>
      </c>
      <c r="E14" s="63">
        <v>1920.0</v>
      </c>
      <c r="F14" s="63">
        <v>388.0</v>
      </c>
      <c r="G14" s="63">
        <v>5700.0</v>
      </c>
      <c r="H14" s="65">
        <f t="shared" si="1"/>
        <v>2.96875</v>
      </c>
      <c r="I14" s="65">
        <f t="shared" si="2"/>
        <v>14.69072165</v>
      </c>
      <c r="J14" s="67">
        <f t="shared" si="3"/>
        <v>0.175257732</v>
      </c>
      <c r="K14" s="62" t="s">
        <v>193</v>
      </c>
    </row>
    <row r="15" ht="15.75" customHeight="1">
      <c r="A15" s="70" t="s">
        <v>210</v>
      </c>
      <c r="B15" s="70" t="s">
        <v>211</v>
      </c>
      <c r="C15" s="56" t="s">
        <v>209</v>
      </c>
      <c r="D15" s="56" t="s">
        <v>212</v>
      </c>
      <c r="E15" s="57">
        <v>1050.0</v>
      </c>
      <c r="F15" s="57">
        <v>441.0</v>
      </c>
      <c r="G15" s="57">
        <v>4100.0</v>
      </c>
      <c r="H15" s="59">
        <f t="shared" si="1"/>
        <v>3.904761905</v>
      </c>
      <c r="I15" s="59">
        <f t="shared" si="2"/>
        <v>9.297052154</v>
      </c>
      <c r="J15" s="61">
        <f t="shared" si="3"/>
        <v>-0.2562358277</v>
      </c>
      <c r="K15" s="56" t="s">
        <v>176</v>
      </c>
    </row>
    <row r="16" ht="15.75" customHeight="1">
      <c r="A16" s="38" t="s">
        <v>213</v>
      </c>
      <c r="B16" s="38" t="s">
        <v>214</v>
      </c>
      <c r="C16" s="62" t="s">
        <v>215</v>
      </c>
      <c r="D16" s="62" t="s">
        <v>216</v>
      </c>
      <c r="E16" s="63">
        <v>1680.0</v>
      </c>
      <c r="F16" s="63">
        <v>756.0</v>
      </c>
      <c r="G16" s="63">
        <v>9800.0</v>
      </c>
      <c r="H16" s="65">
        <f t="shared" si="1"/>
        <v>5.833333333</v>
      </c>
      <c r="I16" s="65">
        <f t="shared" si="2"/>
        <v>12.96296296</v>
      </c>
      <c r="J16" s="67">
        <f t="shared" si="3"/>
        <v>0.03703703704</v>
      </c>
      <c r="K16" s="62" t="s">
        <v>176</v>
      </c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ht="15.75" customHeight="1">
      <c r="A18" s="40" t="s">
        <v>142</v>
      </c>
      <c r="B18" s="13"/>
      <c r="C18" s="13"/>
      <c r="D18" s="13"/>
      <c r="E18" s="41">
        <f t="shared" ref="E18:J18" si="4">PERCENTILE(E5:E16,0.25)</f>
        <v>665</v>
      </c>
      <c r="F18" s="41">
        <f t="shared" si="4"/>
        <v>283.25</v>
      </c>
      <c r="G18" s="41">
        <f t="shared" si="4"/>
        <v>3175</v>
      </c>
      <c r="H18" s="68">
        <f t="shared" si="4"/>
        <v>3.427910053</v>
      </c>
      <c r="I18" s="68">
        <f t="shared" si="4"/>
        <v>9.115646259</v>
      </c>
      <c r="J18" s="69">
        <f t="shared" si="4"/>
        <v>-0.2707482993</v>
      </c>
      <c r="K18" s="13"/>
    </row>
    <row r="19" ht="15.75" customHeight="1">
      <c r="A19" s="40" t="s">
        <v>143</v>
      </c>
      <c r="B19" s="13"/>
      <c r="C19" s="13"/>
      <c r="D19" s="13"/>
      <c r="E19" s="41">
        <f t="shared" ref="E19:J19" si="5">MEDIAN(E5:E16)</f>
        <v>1085</v>
      </c>
      <c r="F19" s="41">
        <f t="shared" si="5"/>
        <v>414.5</v>
      </c>
      <c r="G19" s="41">
        <f t="shared" si="5"/>
        <v>5025</v>
      </c>
      <c r="H19" s="68">
        <f t="shared" si="5"/>
        <v>4.452380952</v>
      </c>
      <c r="I19" s="68">
        <f t="shared" si="5"/>
        <v>12.73148148</v>
      </c>
      <c r="J19" s="69">
        <f t="shared" si="5"/>
        <v>0.01851851852</v>
      </c>
      <c r="K19" s="13"/>
    </row>
    <row r="20" ht="15.75" customHeight="1">
      <c r="A20" s="40" t="s">
        <v>144</v>
      </c>
      <c r="B20" s="13"/>
      <c r="C20" s="13"/>
      <c r="D20" s="13"/>
      <c r="E20" s="41">
        <f t="shared" ref="E20:J20" si="6">PERCENTILE(E5:E16,0.75)</f>
        <v>1965</v>
      </c>
      <c r="F20" s="41">
        <f t="shared" si="6"/>
        <v>777</v>
      </c>
      <c r="G20" s="41">
        <f t="shared" si="6"/>
        <v>9725</v>
      </c>
      <c r="H20" s="68">
        <f t="shared" si="6"/>
        <v>6.540178571</v>
      </c>
      <c r="I20" s="68">
        <f t="shared" si="6"/>
        <v>18.38616857</v>
      </c>
      <c r="J20" s="69">
        <f t="shared" si="6"/>
        <v>0.4708934856</v>
      </c>
      <c r="K20" s="13"/>
    </row>
    <row r="21" ht="15.75" customHeight="1">
      <c r="A21" s="40" t="s">
        <v>145</v>
      </c>
      <c r="B21" s="13"/>
      <c r="C21" s="13"/>
      <c r="D21" s="13"/>
      <c r="E21" s="41">
        <f t="shared" ref="E21:J21" si="7">AVERAGE(E5:E16)</f>
        <v>1475.833333</v>
      </c>
      <c r="F21" s="41">
        <f t="shared" si="7"/>
        <v>564.3333333</v>
      </c>
      <c r="G21" s="41">
        <f t="shared" si="7"/>
        <v>8633.333333</v>
      </c>
      <c r="H21" s="68">
        <f t="shared" si="7"/>
        <v>5.369412527</v>
      </c>
      <c r="I21" s="68">
        <f t="shared" si="7"/>
        <v>13.60179964</v>
      </c>
      <c r="J21" s="69">
        <f t="shared" si="7"/>
        <v>0.0881439709</v>
      </c>
      <c r="K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8" width="14.0"/>
    <col customWidth="1" min="9" max="26" width="8.71"/>
  </cols>
  <sheetData>
    <row r="1" ht="24.0" customHeight="1">
      <c r="A1" s="22" t="s">
        <v>217</v>
      </c>
      <c r="B1" s="10"/>
      <c r="C1" s="10"/>
      <c r="D1" s="10"/>
      <c r="E1" s="10"/>
      <c r="F1" s="10"/>
      <c r="G1" s="10"/>
      <c r="H1" s="11"/>
    </row>
    <row r="2" ht="15.75" customHeight="1">
      <c r="A2" s="23" t="s">
        <v>218</v>
      </c>
      <c r="B2" s="10"/>
      <c r="C2" s="10"/>
      <c r="D2" s="10"/>
      <c r="E2" s="10"/>
      <c r="F2" s="10"/>
      <c r="G2" s="10"/>
      <c r="H2" s="11"/>
    </row>
    <row r="3">
      <c r="A3" s="13"/>
      <c r="B3" s="13"/>
      <c r="C3" s="13"/>
      <c r="D3" s="13"/>
      <c r="E3" s="13"/>
      <c r="F3" s="13"/>
      <c r="G3" s="13"/>
      <c r="H3" s="13"/>
    </row>
    <row r="4" ht="15.0" customHeight="1">
      <c r="A4" s="27" t="s">
        <v>219</v>
      </c>
      <c r="B4" s="28"/>
      <c r="C4" s="28"/>
      <c r="D4" s="28"/>
      <c r="E4" s="28"/>
      <c r="F4" s="28"/>
      <c r="G4" s="28"/>
      <c r="H4" s="29"/>
    </row>
    <row r="5" ht="15.75" customHeight="1">
      <c r="A5" s="30" t="s">
        <v>220</v>
      </c>
      <c r="B5" s="75">
        <v>2024.0</v>
      </c>
      <c r="C5" s="13"/>
      <c r="D5" s="13"/>
      <c r="E5" s="13"/>
      <c r="F5" s="13"/>
      <c r="G5" s="13"/>
      <c r="H5" s="13"/>
    </row>
    <row r="6" ht="15.75" customHeight="1">
      <c r="A6" s="30" t="s">
        <v>221</v>
      </c>
      <c r="B6" s="75">
        <v>2029.0</v>
      </c>
      <c r="C6" s="13"/>
      <c r="D6" s="13"/>
      <c r="E6" s="13"/>
      <c r="F6" s="13"/>
      <c r="G6" s="13"/>
      <c r="H6" s="13"/>
    </row>
    <row r="7" ht="15.75" customHeight="1">
      <c r="A7" s="30" t="s">
        <v>222</v>
      </c>
      <c r="B7" s="76">
        <f>B6-B5</f>
        <v>5</v>
      </c>
      <c r="C7" s="13"/>
      <c r="D7" s="13"/>
      <c r="E7" s="13"/>
      <c r="F7" s="13"/>
      <c r="G7" s="13"/>
      <c r="H7" s="13"/>
    </row>
    <row r="8" ht="15.75" customHeight="1">
      <c r="A8" s="13"/>
      <c r="B8" s="13"/>
      <c r="C8" s="13"/>
      <c r="D8" s="13"/>
      <c r="E8" s="13"/>
      <c r="F8" s="13"/>
      <c r="G8" s="13"/>
      <c r="H8" s="13"/>
    </row>
    <row r="9" ht="15.75" customHeight="1">
      <c r="A9" s="30" t="s">
        <v>223</v>
      </c>
      <c r="B9" s="33">
        <v>586.2</v>
      </c>
      <c r="C9" s="13"/>
      <c r="D9" s="13"/>
      <c r="E9" s="13"/>
      <c r="F9" s="13"/>
      <c r="G9" s="13"/>
      <c r="H9" s="13"/>
    </row>
    <row r="10" ht="15.75" customHeight="1">
      <c r="A10" s="30" t="s">
        <v>224</v>
      </c>
      <c r="B10" s="77">
        <v>11.8</v>
      </c>
      <c r="C10" s="13"/>
      <c r="D10" s="13"/>
      <c r="E10" s="13"/>
      <c r="F10" s="13"/>
      <c r="G10" s="13"/>
      <c r="H10" s="13"/>
    </row>
    <row r="11" ht="15.75" customHeight="1">
      <c r="A11" s="30" t="s">
        <v>225</v>
      </c>
      <c r="B11" s="41">
        <f>B9*B10</f>
        <v>6917.16</v>
      </c>
      <c r="C11" s="13"/>
      <c r="D11" s="13"/>
      <c r="E11" s="13"/>
      <c r="F11" s="13"/>
      <c r="G11" s="13"/>
      <c r="H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</row>
    <row r="13" ht="15.75" customHeight="1">
      <c r="A13" s="30" t="s">
        <v>226</v>
      </c>
      <c r="B13" s="33">
        <v>2200.0</v>
      </c>
      <c r="C13" s="13"/>
      <c r="D13" s="13"/>
      <c r="E13" s="13"/>
      <c r="F13" s="13"/>
      <c r="G13" s="13"/>
      <c r="H13" s="13"/>
    </row>
    <row r="14" ht="15.75" customHeight="1">
      <c r="A14" s="30" t="s">
        <v>227</v>
      </c>
      <c r="B14" s="31">
        <v>0.0725</v>
      </c>
      <c r="C14" s="13"/>
      <c r="D14" s="13"/>
      <c r="E14" s="13"/>
      <c r="F14" s="13"/>
      <c r="G14" s="13"/>
      <c r="H14" s="13"/>
    </row>
    <row r="15" ht="15.75" customHeight="1">
      <c r="A15" s="30" t="s">
        <v>228</v>
      </c>
      <c r="B15" s="33">
        <v>800.0</v>
      </c>
      <c r="C15" s="13"/>
      <c r="D15" s="13"/>
      <c r="E15" s="13"/>
      <c r="F15" s="13"/>
      <c r="G15" s="13"/>
      <c r="H15" s="13"/>
    </row>
    <row r="16" ht="15.75" customHeight="1">
      <c r="A16" s="30" t="s">
        <v>229</v>
      </c>
      <c r="B16" s="31">
        <v>0.0895</v>
      </c>
      <c r="C16" s="13"/>
      <c r="D16" s="13"/>
      <c r="E16" s="13"/>
      <c r="F16" s="13"/>
      <c r="G16" s="13"/>
      <c r="H16" s="13"/>
    </row>
    <row r="17" ht="15.75" customHeight="1">
      <c r="A17" s="32" t="s">
        <v>230</v>
      </c>
      <c r="B17" s="39">
        <f>B13+B15</f>
        <v>3000</v>
      </c>
      <c r="C17" s="13"/>
      <c r="D17" s="13"/>
      <c r="E17" s="13"/>
      <c r="F17" s="13"/>
      <c r="G17" s="13"/>
      <c r="H17" s="13"/>
    </row>
    <row r="18" ht="15.75" customHeight="1">
      <c r="A18" s="30" t="s">
        <v>231</v>
      </c>
      <c r="B18" s="33">
        <v>68.5</v>
      </c>
      <c r="C18" s="13"/>
      <c r="D18" s="13"/>
      <c r="E18" s="13"/>
      <c r="F18" s="13"/>
      <c r="G18" s="13"/>
      <c r="H18" s="13"/>
    </row>
    <row r="19" ht="15.75" customHeight="1">
      <c r="A19" s="32" t="s">
        <v>232</v>
      </c>
      <c r="B19" s="41">
        <f>B11+B18+B14</f>
        <v>6985.7325</v>
      </c>
      <c r="C19" s="13"/>
      <c r="D19" s="13"/>
      <c r="E19" s="13"/>
      <c r="F19" s="13"/>
      <c r="G19" s="13"/>
      <c r="H19" s="13"/>
    </row>
    <row r="20" ht="15.75" customHeight="1">
      <c r="A20" s="32" t="s">
        <v>233</v>
      </c>
      <c r="B20" s="41">
        <f>B19-B17</f>
        <v>3985.7325</v>
      </c>
      <c r="C20" s="13"/>
      <c r="D20" s="13"/>
      <c r="E20" s="13"/>
      <c r="F20" s="13"/>
      <c r="G20" s="13"/>
      <c r="H20" s="13"/>
    </row>
    <row r="21" ht="15.75" customHeight="1">
      <c r="A21" s="30" t="s">
        <v>234</v>
      </c>
      <c r="B21" s="37">
        <f>B20/B19</f>
        <v>0.570553267</v>
      </c>
      <c r="C21" s="13"/>
      <c r="D21" s="13"/>
      <c r="E21" s="13"/>
      <c r="F21" s="13"/>
      <c r="G21" s="13"/>
      <c r="H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</row>
    <row r="23" ht="15.0" customHeight="1">
      <c r="A23" s="27" t="s">
        <v>235</v>
      </c>
      <c r="B23" s="28"/>
      <c r="C23" s="28"/>
      <c r="D23" s="28"/>
      <c r="E23" s="28"/>
      <c r="F23" s="28"/>
      <c r="G23" s="28"/>
      <c r="H23" s="29"/>
    </row>
    <row r="24" ht="18.0" customHeight="1">
      <c r="A24" s="34" t="s">
        <v>46</v>
      </c>
      <c r="B24" s="34" t="s">
        <v>236</v>
      </c>
      <c r="C24" s="34" t="s">
        <v>237</v>
      </c>
      <c r="D24" s="34" t="s">
        <v>238</v>
      </c>
      <c r="E24" s="34" t="s">
        <v>239</v>
      </c>
      <c r="F24" s="34" t="s">
        <v>240</v>
      </c>
      <c r="G24" s="34" t="s">
        <v>241</v>
      </c>
      <c r="H24" s="13"/>
    </row>
    <row r="25" ht="15.0" customHeight="1">
      <c r="A25" s="30" t="s">
        <v>242</v>
      </c>
      <c r="B25" s="31">
        <v>0.065</v>
      </c>
      <c r="C25" s="31">
        <v>0.065</v>
      </c>
      <c r="D25" s="31">
        <v>0.065</v>
      </c>
      <c r="E25" s="31">
        <v>0.065</v>
      </c>
      <c r="F25" s="31">
        <v>0.065</v>
      </c>
      <c r="G25" s="31">
        <v>0.065</v>
      </c>
      <c r="H25" s="13"/>
    </row>
    <row r="26" ht="15.0" customHeight="1">
      <c r="A26" s="35" t="s">
        <v>243</v>
      </c>
      <c r="B26" s="36">
        <f>1928.4*(1+B25)</f>
        <v>2053.746</v>
      </c>
      <c r="C26" s="36">
        <f t="shared" ref="C26:G26" si="1">B26*(1+C25)</f>
        <v>2187.23949</v>
      </c>
      <c r="D26" s="36">
        <f t="shared" si="1"/>
        <v>2329.410057</v>
      </c>
      <c r="E26" s="36">
        <f t="shared" si="1"/>
        <v>2480.821711</v>
      </c>
      <c r="F26" s="36">
        <f t="shared" si="1"/>
        <v>2642.075122</v>
      </c>
      <c r="G26" s="36">
        <f t="shared" si="1"/>
        <v>2813.810005</v>
      </c>
      <c r="H26" s="13"/>
    </row>
    <row r="27" ht="15.0" customHeight="1">
      <c r="A27" s="30" t="s">
        <v>39</v>
      </c>
      <c r="B27" s="31">
        <v>0.32</v>
      </c>
      <c r="C27" s="31">
        <v>0.324</v>
      </c>
      <c r="D27" s="31">
        <v>0.328</v>
      </c>
      <c r="E27" s="31">
        <v>0.332</v>
      </c>
      <c r="F27" s="31">
        <v>0.336</v>
      </c>
      <c r="G27" s="31">
        <v>0.34</v>
      </c>
      <c r="H27" s="13"/>
    </row>
    <row r="28" ht="15.0" customHeight="1">
      <c r="A28" s="35" t="s">
        <v>244</v>
      </c>
      <c r="B28" s="36">
        <f t="shared" ref="B28:G28" si="2">B26*B27</f>
        <v>657.19872</v>
      </c>
      <c r="C28" s="36">
        <f t="shared" si="2"/>
        <v>708.6655948</v>
      </c>
      <c r="D28" s="36">
        <f t="shared" si="2"/>
        <v>764.0464986</v>
      </c>
      <c r="E28" s="36">
        <f t="shared" si="2"/>
        <v>823.6328079</v>
      </c>
      <c r="F28" s="36">
        <f t="shared" si="2"/>
        <v>887.7372409</v>
      </c>
      <c r="G28" s="36">
        <f t="shared" si="2"/>
        <v>956.6954016</v>
      </c>
      <c r="H28" s="13"/>
    </row>
    <row r="29" ht="15.0" customHeight="1">
      <c r="A29" s="30" t="s">
        <v>245</v>
      </c>
      <c r="B29" s="33">
        <v>-110.0</v>
      </c>
      <c r="C29" s="33">
        <v>-110.0</v>
      </c>
      <c r="D29" s="33">
        <v>-110.0</v>
      </c>
      <c r="E29" s="33">
        <v>-110.0</v>
      </c>
      <c r="F29" s="33">
        <v>-110.0</v>
      </c>
      <c r="G29" s="33">
        <v>-1650.0</v>
      </c>
      <c r="H29" s="13"/>
    </row>
    <row r="30" ht="15.0" customHeight="1">
      <c r="A30" s="30" t="s">
        <v>246</v>
      </c>
      <c r="B30" s="39">
        <f>B13</f>
        <v>2200</v>
      </c>
      <c r="C30" s="39">
        <f t="shared" ref="C30:G30" si="3">B30+B29</f>
        <v>2090</v>
      </c>
      <c r="D30" s="39">
        <f t="shared" si="3"/>
        <v>1980</v>
      </c>
      <c r="E30" s="39">
        <f t="shared" si="3"/>
        <v>1870</v>
      </c>
      <c r="F30" s="39">
        <f t="shared" si="3"/>
        <v>1760</v>
      </c>
      <c r="G30" s="39">
        <f t="shared" si="3"/>
        <v>1650</v>
      </c>
      <c r="H30" s="13"/>
    </row>
    <row r="31" ht="15.0" customHeight="1">
      <c r="A31" s="30" t="s">
        <v>247</v>
      </c>
      <c r="B31" s="39">
        <f t="shared" ref="B31:G31" si="4">-B30*$B$14</f>
        <v>-159.5</v>
      </c>
      <c r="C31" s="39">
        <f t="shared" si="4"/>
        <v>-151.525</v>
      </c>
      <c r="D31" s="39">
        <f t="shared" si="4"/>
        <v>-143.55</v>
      </c>
      <c r="E31" s="39">
        <f t="shared" si="4"/>
        <v>-135.575</v>
      </c>
      <c r="F31" s="39">
        <f t="shared" si="4"/>
        <v>-127.6</v>
      </c>
      <c r="G31" s="39">
        <f t="shared" si="4"/>
        <v>-119.625</v>
      </c>
      <c r="H31" s="13"/>
    </row>
    <row r="32" ht="15.0" customHeight="1">
      <c r="A32" s="30" t="s">
        <v>248</v>
      </c>
      <c r="B32" s="39">
        <f>B15</f>
        <v>800</v>
      </c>
      <c r="C32" s="39">
        <f>B15</f>
        <v>800</v>
      </c>
      <c r="D32" s="39">
        <f>B15</f>
        <v>800</v>
      </c>
      <c r="E32" s="39">
        <f>B15</f>
        <v>800</v>
      </c>
      <c r="F32" s="39">
        <f>B15</f>
        <v>800</v>
      </c>
      <c r="G32" s="39">
        <f>B15</f>
        <v>800</v>
      </c>
      <c r="H32" s="13"/>
    </row>
    <row r="33" ht="15.0" customHeight="1">
      <c r="A33" s="30" t="s">
        <v>249</v>
      </c>
      <c r="B33" s="39">
        <f t="shared" ref="B33:G33" si="5">-B32*$B$16</f>
        <v>-71.6</v>
      </c>
      <c r="C33" s="39">
        <f t="shared" si="5"/>
        <v>-71.6</v>
      </c>
      <c r="D33" s="39">
        <f t="shared" si="5"/>
        <v>-71.6</v>
      </c>
      <c r="E33" s="39">
        <f t="shared" si="5"/>
        <v>-71.6</v>
      </c>
      <c r="F33" s="39">
        <f t="shared" si="5"/>
        <v>-71.6</v>
      </c>
      <c r="G33" s="39">
        <f t="shared" si="5"/>
        <v>-71.6</v>
      </c>
      <c r="H33" s="13"/>
    </row>
    <row r="34" ht="15.0" customHeight="1">
      <c r="A34" s="40" t="s">
        <v>250</v>
      </c>
      <c r="B34" s="41">
        <f t="shared" ref="B34:G34" si="6">B31+B33</f>
        <v>-231.1</v>
      </c>
      <c r="C34" s="41">
        <f t="shared" si="6"/>
        <v>-223.125</v>
      </c>
      <c r="D34" s="41">
        <f t="shared" si="6"/>
        <v>-215.15</v>
      </c>
      <c r="E34" s="41">
        <f t="shared" si="6"/>
        <v>-207.175</v>
      </c>
      <c r="F34" s="41">
        <f t="shared" si="6"/>
        <v>-199.2</v>
      </c>
      <c r="G34" s="41">
        <f t="shared" si="6"/>
        <v>-191.225</v>
      </c>
      <c r="H34" s="13"/>
    </row>
    <row r="35" ht="15.0" customHeight="1">
      <c r="A35" s="32" t="s">
        <v>251</v>
      </c>
      <c r="B35" s="78">
        <f t="shared" ref="B35:G35" si="7">B30+B29+B32</f>
        <v>2890</v>
      </c>
      <c r="C35" s="78">
        <f t="shared" si="7"/>
        <v>2780</v>
      </c>
      <c r="D35" s="78">
        <f t="shared" si="7"/>
        <v>2670</v>
      </c>
      <c r="E35" s="78">
        <f t="shared" si="7"/>
        <v>2560</v>
      </c>
      <c r="F35" s="78">
        <f t="shared" si="7"/>
        <v>2450</v>
      </c>
      <c r="G35" s="78">
        <f t="shared" si="7"/>
        <v>800</v>
      </c>
      <c r="H35" s="13"/>
    </row>
    <row r="36" ht="15.0" customHeight="1">
      <c r="A36" s="30" t="s">
        <v>252</v>
      </c>
      <c r="B36" s="71">
        <f t="shared" ref="B36:G36" si="8">B35/B28</f>
        <v>4.397452265</v>
      </c>
      <c r="C36" s="71">
        <f t="shared" si="8"/>
        <v>3.922865764</v>
      </c>
      <c r="D36" s="71">
        <f t="shared" si="8"/>
        <v>3.494551712</v>
      </c>
      <c r="E36" s="71">
        <f t="shared" si="8"/>
        <v>3.108181189</v>
      </c>
      <c r="F36" s="71">
        <f t="shared" si="8"/>
        <v>2.759825641</v>
      </c>
      <c r="G36" s="71">
        <f t="shared" si="8"/>
        <v>0.8362118169</v>
      </c>
      <c r="H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</row>
    <row r="38" ht="15.0" customHeight="1">
      <c r="A38" s="27" t="s">
        <v>253</v>
      </c>
      <c r="B38" s="28"/>
      <c r="C38" s="28"/>
      <c r="D38" s="28"/>
      <c r="E38" s="28"/>
      <c r="F38" s="28"/>
      <c r="G38" s="28"/>
      <c r="H38" s="29"/>
    </row>
    <row r="39" ht="15.0" customHeight="1">
      <c r="A39" s="30" t="s">
        <v>254</v>
      </c>
      <c r="B39" s="77">
        <v>12.5</v>
      </c>
      <c r="C39" s="13"/>
      <c r="D39" s="13"/>
      <c r="E39" s="13"/>
      <c r="F39" s="13"/>
      <c r="G39" s="13"/>
      <c r="H39" s="13"/>
    </row>
    <row r="40" ht="15.0" customHeight="1">
      <c r="A40" s="30" t="s">
        <v>255</v>
      </c>
      <c r="B40" s="47">
        <f>G28</f>
        <v>956.6954016</v>
      </c>
      <c r="C40" s="13"/>
      <c r="D40" s="13"/>
      <c r="E40" s="13"/>
      <c r="F40" s="13"/>
      <c r="G40" s="13"/>
      <c r="H40" s="13"/>
    </row>
    <row r="41" ht="15.0" customHeight="1">
      <c r="A41" s="32" t="s">
        <v>256</v>
      </c>
      <c r="B41" s="41">
        <f>B39*B40</f>
        <v>11958.69252</v>
      </c>
      <c r="C41" s="13"/>
      <c r="D41" s="13"/>
      <c r="E41" s="13"/>
      <c r="F41" s="13"/>
      <c r="G41" s="13"/>
      <c r="H41" s="13"/>
    </row>
    <row r="42" ht="15.0" customHeight="1">
      <c r="A42" s="30" t="s">
        <v>257</v>
      </c>
      <c r="B42" s="39">
        <f>-G35</f>
        <v>-800</v>
      </c>
      <c r="C42" s="13"/>
      <c r="D42" s="13"/>
      <c r="E42" s="13"/>
      <c r="F42" s="13"/>
      <c r="G42" s="13"/>
      <c r="H42" s="13"/>
    </row>
    <row r="43" ht="15.0" customHeight="1">
      <c r="A43" s="32" t="s">
        <v>258</v>
      </c>
      <c r="B43" s="41">
        <f>B41+B42</f>
        <v>11158.69252</v>
      </c>
      <c r="C43" s="13"/>
      <c r="D43" s="13"/>
      <c r="E43" s="13"/>
      <c r="F43" s="13"/>
      <c r="G43" s="13"/>
      <c r="H43" s="13"/>
    </row>
    <row r="44" ht="15.0" customHeight="1">
      <c r="A44" s="32" t="s">
        <v>259</v>
      </c>
      <c r="B44" s="78">
        <f>B20</f>
        <v>3985.7325</v>
      </c>
      <c r="C44" s="13"/>
      <c r="D44" s="13"/>
      <c r="E44" s="13"/>
      <c r="F44" s="13"/>
      <c r="G44" s="13"/>
      <c r="H44" s="13"/>
    </row>
    <row r="45" ht="15.0" customHeight="1">
      <c r="A45" s="32" t="s">
        <v>260</v>
      </c>
      <c r="B45" s="68">
        <f>B43/B44</f>
        <v>2.799659164</v>
      </c>
      <c r="C45" s="13"/>
      <c r="D45" s="13"/>
      <c r="E45" s="13"/>
      <c r="F45" s="13"/>
      <c r="G45" s="13"/>
      <c r="H45" s="13"/>
    </row>
    <row r="46" ht="15.0" customHeight="1">
      <c r="A46" s="32" t="s">
        <v>261</v>
      </c>
      <c r="B46" s="69">
        <f>(B45)^(1/B7)-1</f>
        <v>0.2286297654</v>
      </c>
      <c r="C46" s="13"/>
      <c r="D46" s="13"/>
      <c r="E46" s="13"/>
      <c r="F46" s="13"/>
      <c r="G46" s="13"/>
      <c r="H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</row>
    <row r="48" ht="15.0" customHeight="1">
      <c r="A48" s="27" t="s">
        <v>262</v>
      </c>
      <c r="B48" s="28"/>
      <c r="C48" s="28"/>
      <c r="D48" s="28"/>
      <c r="E48" s="28"/>
      <c r="F48" s="28"/>
      <c r="G48" s="28"/>
      <c r="H48" s="29"/>
    </row>
    <row r="49" ht="18.0" customHeight="1">
      <c r="A49" s="34" t="s">
        <v>263</v>
      </c>
      <c r="B49" s="51">
        <v>0.04</v>
      </c>
      <c r="C49" s="51">
        <v>0.05</v>
      </c>
      <c r="D49" s="51">
        <v>0.065</v>
      </c>
      <c r="E49" s="51">
        <v>0.08</v>
      </c>
      <c r="F49" s="51">
        <v>0.095</v>
      </c>
      <c r="G49" s="13"/>
      <c r="H49" s="13"/>
    </row>
    <row r="50" ht="15.75" customHeight="1">
      <c r="A50" s="79">
        <v>10.5</v>
      </c>
      <c r="B50" s="80">
        <f>IF(B20&gt;0,((10.5*B9*(1+0.04)^B7*0.332-B17*0.72)/B20)^(1/B7)-1,"-")</f>
        <v>-0.3938208398</v>
      </c>
      <c r="C50" s="80">
        <f>IF(B20&gt;0,((10.5*B9*(1+0.05)^B7*0.332-B17*0.72)/B20)^(1/B7)-1,"-")</f>
        <v>-0.3540958631</v>
      </c>
      <c r="D50" s="80">
        <f>IF(B20&gt;0,((10.5*B9*(1+0.065)^B7*0.332-B17*0.72)/B20)^(1/B7)-1,"-")</f>
        <v>-0.3064110517</v>
      </c>
      <c r="E50" s="80">
        <f>IF(B20&gt;0,((10.5*B9*(1+0.08)^B7*0.332-B17*0.72)/B20)^(1/B7)-1,"-")</f>
        <v>-0.2671438492</v>
      </c>
      <c r="F50" s="80">
        <f>IF(B20&gt;0,((10.5*B9*(1+0.095)^B7*0.332-B17*0.72)/B20)^(1/B7)-1,"-")</f>
        <v>-0.2331526102</v>
      </c>
      <c r="G50" s="13"/>
      <c r="H50" s="13"/>
    </row>
    <row r="51" ht="15.75" customHeight="1">
      <c r="A51" s="79">
        <v>11.0</v>
      </c>
      <c r="B51" s="81">
        <f>IF(B20&gt;0,((11*B9*(1+0.04)^B7*0.332-B17*0.72)/B20)^(1/B7)-1,"-")</f>
        <v>-0.3550962677</v>
      </c>
      <c r="C51" s="81">
        <f>IF(B20&gt;0,((11*B9*(1+0.05)^B7*0.332-B17*0.72)/B20)^(1/B7)-1,"-")</f>
        <v>-0.3217058755</v>
      </c>
      <c r="D51" s="81">
        <f>IF(B20&gt;0,((11*B9*(1+0.065)^B7*0.332-B17*0.72)/B20)^(1/B7)-1,"-")</f>
        <v>-0.279649604</v>
      </c>
      <c r="E51" s="81">
        <f>IF(B20&gt;0,((11*B9*(1+0.08)^B7*0.332-B17*0.72)/B20)^(1/B7)-1,"-")</f>
        <v>-0.2438058451</v>
      </c>
      <c r="F51" s="81">
        <f>IF(B20&gt;0,((11*B9*(1+0.095)^B7*0.332-B17*0.72)/B20)^(1/B7)-1,"-")</f>
        <v>-0.2121109434</v>
      </c>
      <c r="G51" s="13"/>
      <c r="H51" s="13"/>
    </row>
    <row r="52" ht="15.75" customHeight="1">
      <c r="A52" s="79">
        <v>11.5</v>
      </c>
      <c r="B52" s="80">
        <f>IF(B20&gt;0,((11.5*B9*(1+0.04)^B7*0.332-B17*0.72)/B20)^(1/B7)-1,"-")</f>
        <v>-0.3239157531</v>
      </c>
      <c r="C52" s="80">
        <f>IF(B20&gt;0,((11.5*B9*(1+0.05)^B7*0.332-B17*0.72)/B20)^(1/B7)-1,"-")</f>
        <v>-0.2945314181</v>
      </c>
      <c r="D52" s="80">
        <f>IF(B20&gt;0,((11.5*B9*(1+0.065)^B7*0.332-B17*0.72)/B20)^(1/B7)-1,"-")</f>
        <v>-0.2563595472</v>
      </c>
      <c r="E52" s="80">
        <f>IF(B20&gt;0,((11.5*B9*(1+0.08)^B7*0.332-B17*0.72)/B20)^(1/B7)-1,"-")</f>
        <v>-0.2230371767</v>
      </c>
      <c r="F52" s="80">
        <f>IF(B20&gt;0,((11.5*B9*(1+0.095)^B7*0.332-B17*0.72)/B20)^(1/B7)-1,"-")</f>
        <v>-0.1931030791</v>
      </c>
      <c r="G52" s="13"/>
      <c r="H52" s="13"/>
    </row>
    <row r="53" ht="15.75" customHeight="1">
      <c r="A53" s="79">
        <v>12.0</v>
      </c>
      <c r="B53" s="81">
        <f>IF(B20&gt;0,((12*B9*(1+0.04)^B7*0.332-B17*0.72)/B20)^(1/B7)-1,"-")</f>
        <v>-0.2976099522</v>
      </c>
      <c r="C53" s="81">
        <f>IF(B20&gt;0,((12*B9*(1+0.05)^B7*0.332-B17*0.72)/B20)^(1/B7)-1,"-")</f>
        <v>-0.2709951086</v>
      </c>
      <c r="D53" s="81">
        <f>IF(B20&gt;0,((12*B9*(1+0.065)^B7*0.332-B17*0.72)/B20)^(1/B7)-1,"-")</f>
        <v>-0.2356673833</v>
      </c>
      <c r="E53" s="81">
        <f>IF(B20&gt;0,((12*B9*(1+0.08)^B7*0.332-B17*0.72)/B20)^(1/B7)-1,"-")</f>
        <v>-0.2042775721</v>
      </c>
      <c r="F53" s="81">
        <f>IF(B20&gt;0,((12*B9*(1+0.095)^B7*0.332-B17*0.72)/B20)^(1/B7)-1,"-")</f>
        <v>-0.1757339349</v>
      </c>
      <c r="G53" s="13"/>
      <c r="H53" s="13"/>
    </row>
    <row r="54" ht="15.75" customHeight="1">
      <c r="A54" s="79">
        <v>12.5</v>
      </c>
      <c r="B54" s="80">
        <f>IF(B20&gt;0,((12.5*B9*(1+0.04)^B7*0.332-B17*0.72)/B20)^(1/B7)-1,"-")</f>
        <v>-0.2747406293</v>
      </c>
      <c r="C54" s="80">
        <f>IF(B20&gt;0,((12.5*B9*(1+0.05)^B7*0.332-B17*0.72)/B20)^(1/B7)-1,"-")</f>
        <v>-0.2501562068</v>
      </c>
      <c r="D54" s="82">
        <f>IF(B20&gt;0,((12.5*B9*(1+0.065)^B7*0.332-B17*0.72)/B20)^(1/B7)-1,"-")</f>
        <v>-0.2170000327</v>
      </c>
      <c r="E54" s="80">
        <f>IF(B20&gt;0,((12.5*B9*(1+0.08)^B7*0.332-B17*0.72)/B20)^(1/B7)-1,"-")</f>
        <v>-0.1871364678</v>
      </c>
      <c r="F54" s="80">
        <f>IF(B20&gt;0,((12.5*B9*(1+0.095)^B7*0.332-B17*0.72)/B20)^(1/B7)-1,"-")</f>
        <v>-0.1597162866</v>
      </c>
      <c r="G54" s="13"/>
      <c r="H54" s="13"/>
    </row>
    <row r="55" ht="15.75" customHeight="1">
      <c r="A55" s="79">
        <v>13.0</v>
      </c>
      <c r="B55" s="81">
        <f>IF(B20&gt;0,((13*B9*(1+0.04)^B7*0.332-B17*0.72)/B20)^(1/B7)-1,"-")</f>
        <v>-0.254437781</v>
      </c>
      <c r="C55" s="81">
        <f>IF(B20&gt;0,((13*B9*(1+0.05)^B7*0.332-B17*0.72)/B20)^(1/B7)-1,"-")</f>
        <v>-0.2314053535</v>
      </c>
      <c r="D55" s="81">
        <f>IF(B20&gt;0,((13*B9*(1+0.065)^B7*0.332-B17*0.72)/B20)^(1/B7)-1,"-")</f>
        <v>-0.1999598045</v>
      </c>
      <c r="E55" s="81">
        <f>IF(B20&gt;0,((13*B9*(1+0.08)^B7*0.332-B17*0.72)/B20)^(1/B7)-1,"-")</f>
        <v>-0.171329996</v>
      </c>
      <c r="F55" s="81">
        <f>IF(B20&gt;0,((13*B9*(1+0.095)^B7*0.332-B17*0.72)/B20)^(1/B7)-1,"-")</f>
        <v>-0.1448343279</v>
      </c>
      <c r="G55" s="13"/>
      <c r="H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mergeCells count="6">
    <mergeCell ref="A1:H1"/>
    <mergeCell ref="A2:H2"/>
    <mergeCell ref="A4:H4"/>
    <mergeCell ref="A23:H23"/>
    <mergeCell ref="A38:H38"/>
    <mergeCell ref="A48:H4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6" width="18.0"/>
    <col customWidth="1" min="7" max="26" width="8.71"/>
  </cols>
  <sheetData>
    <row r="1" ht="24.0" customHeight="1">
      <c r="A1" s="83" t="s">
        <v>264</v>
      </c>
      <c r="B1" s="10"/>
      <c r="C1" s="10"/>
      <c r="D1" s="10"/>
      <c r="E1" s="10"/>
      <c r="F1" s="11"/>
    </row>
    <row r="2" ht="15.75" customHeight="1">
      <c r="A2" s="23" t="s">
        <v>265</v>
      </c>
      <c r="B2" s="10"/>
      <c r="C2" s="10"/>
      <c r="D2" s="10"/>
      <c r="E2" s="10"/>
      <c r="F2" s="11"/>
    </row>
    <row r="3">
      <c r="A3" s="13"/>
      <c r="B3" s="13"/>
      <c r="C3" s="13"/>
      <c r="D3" s="13"/>
      <c r="E3" s="13"/>
      <c r="F3" s="13"/>
    </row>
    <row r="4" ht="15.0" customHeight="1">
      <c r="A4" s="27" t="s">
        <v>266</v>
      </c>
      <c r="B4" s="28"/>
      <c r="C4" s="28"/>
      <c r="D4" s="28"/>
      <c r="E4" s="28"/>
      <c r="F4" s="29"/>
    </row>
    <row r="5" ht="18.0" customHeight="1">
      <c r="A5" s="34" t="s">
        <v>46</v>
      </c>
      <c r="B5" s="34" t="s">
        <v>267</v>
      </c>
      <c r="C5" s="34" t="s">
        <v>268</v>
      </c>
      <c r="D5" s="13"/>
      <c r="E5" s="13"/>
      <c r="F5" s="13"/>
    </row>
    <row r="6" ht="15.75" customHeight="1">
      <c r="A6" s="30" t="s">
        <v>269</v>
      </c>
      <c r="B6" s="33">
        <v>14800.0</v>
      </c>
      <c r="C6" s="33">
        <v>1985.0</v>
      </c>
      <c r="D6" s="13"/>
      <c r="E6" s="13"/>
      <c r="F6" s="13"/>
    </row>
    <row r="7" ht="15.75" customHeight="1">
      <c r="A7" s="30" t="s">
        <v>270</v>
      </c>
      <c r="B7" s="33">
        <v>4480.0</v>
      </c>
      <c r="C7" s="33">
        <v>628.0</v>
      </c>
      <c r="D7" s="13"/>
      <c r="E7" s="13"/>
      <c r="F7" s="13"/>
    </row>
    <row r="8" ht="15.75" customHeight="1">
      <c r="A8" s="30" t="s">
        <v>39</v>
      </c>
      <c r="B8" s="37">
        <f t="shared" ref="B8:C8" si="1">B7/B6</f>
        <v>0.3027027027</v>
      </c>
      <c r="C8" s="37">
        <f t="shared" si="1"/>
        <v>0.316372796</v>
      </c>
      <c r="D8" s="13"/>
      <c r="E8" s="13"/>
      <c r="F8" s="13"/>
    </row>
    <row r="9" ht="15.75" customHeight="1">
      <c r="A9" s="30" t="s">
        <v>271</v>
      </c>
      <c r="B9" s="33">
        <v>-895.0</v>
      </c>
      <c r="C9" s="33">
        <v>-124.0</v>
      </c>
      <c r="D9" s="13"/>
      <c r="E9" s="13"/>
      <c r="F9" s="13"/>
    </row>
    <row r="10" ht="15.75" customHeight="1">
      <c r="A10" s="32" t="s">
        <v>272</v>
      </c>
      <c r="B10" s="39">
        <f t="shared" ref="B10:C10" si="2">B7+B9</f>
        <v>3585</v>
      </c>
      <c r="C10" s="39">
        <f t="shared" si="2"/>
        <v>504</v>
      </c>
      <c r="D10" s="13"/>
      <c r="E10" s="13"/>
      <c r="F10" s="13"/>
    </row>
    <row r="11" ht="15.75" customHeight="1">
      <c r="A11" s="30" t="s">
        <v>273</v>
      </c>
      <c r="B11" s="33">
        <v>-680.0</v>
      </c>
      <c r="C11" s="33">
        <v>-58.0</v>
      </c>
      <c r="D11" s="13"/>
      <c r="E11" s="13"/>
      <c r="F11" s="13"/>
    </row>
    <row r="12" ht="15.75" customHeight="1">
      <c r="A12" s="30" t="s">
        <v>274</v>
      </c>
      <c r="B12" s="39">
        <f t="shared" ref="B12:C12" si="3">B10+B11</f>
        <v>2905</v>
      </c>
      <c r="C12" s="39">
        <f t="shared" si="3"/>
        <v>446</v>
      </c>
      <c r="D12" s="13"/>
      <c r="E12" s="13"/>
      <c r="F12" s="13"/>
    </row>
    <row r="13" ht="15.75" customHeight="1">
      <c r="A13" s="30" t="s">
        <v>275</v>
      </c>
      <c r="B13" s="39">
        <f t="shared" ref="B13:C13" si="4">-MAX(B12*0.265,0)</f>
        <v>-769.825</v>
      </c>
      <c r="C13" s="39">
        <f t="shared" si="4"/>
        <v>-118.19</v>
      </c>
      <c r="D13" s="13"/>
      <c r="E13" s="13"/>
      <c r="F13" s="13"/>
    </row>
    <row r="14" ht="15.75" customHeight="1">
      <c r="A14" s="32" t="s">
        <v>276</v>
      </c>
      <c r="B14" s="78">
        <f t="shared" ref="B14:C14" si="5">B12+B13</f>
        <v>2135.175</v>
      </c>
      <c r="C14" s="78">
        <f t="shared" si="5"/>
        <v>327.81</v>
      </c>
      <c r="D14" s="13"/>
      <c r="E14" s="13"/>
      <c r="F14" s="13"/>
    </row>
    <row r="15" ht="15.75" customHeight="1">
      <c r="A15" s="30" t="s">
        <v>277</v>
      </c>
      <c r="B15" s="49">
        <v>550.2</v>
      </c>
      <c r="C15" s="49">
        <v>248.6</v>
      </c>
      <c r="D15" s="13"/>
      <c r="E15" s="13"/>
      <c r="F15" s="13"/>
    </row>
    <row r="16" ht="15.75" customHeight="1">
      <c r="A16" s="32" t="s">
        <v>278</v>
      </c>
      <c r="B16" s="84">
        <f t="shared" ref="B16:C16" si="6">B14/B15</f>
        <v>3.880725191</v>
      </c>
      <c r="C16" s="84">
        <f t="shared" si="6"/>
        <v>1.318624296</v>
      </c>
      <c r="D16" s="13"/>
      <c r="E16" s="13"/>
      <c r="F16" s="13"/>
    </row>
    <row r="17" ht="15.75" customHeight="1">
      <c r="A17" s="30" t="s">
        <v>279</v>
      </c>
      <c r="B17" s="85">
        <v>48.75</v>
      </c>
      <c r="C17" s="85">
        <v>26.4</v>
      </c>
      <c r="D17" s="13"/>
      <c r="E17" s="13"/>
      <c r="F17" s="13"/>
    </row>
    <row r="18" ht="15.75" customHeight="1">
      <c r="A18" s="30" t="s">
        <v>280</v>
      </c>
      <c r="B18" s="39">
        <f t="shared" ref="B18:C18" si="7">B17*B15</f>
        <v>26822.25</v>
      </c>
      <c r="C18" s="39">
        <f t="shared" si="7"/>
        <v>6563.04</v>
      </c>
      <c r="D18" s="13"/>
      <c r="E18" s="13"/>
      <c r="F18" s="13"/>
    </row>
    <row r="19" ht="15.75" customHeight="1">
      <c r="A19" s="30" t="s">
        <v>115</v>
      </c>
      <c r="B19" s="33">
        <v>8240.0</v>
      </c>
      <c r="C19" s="33">
        <v>837.0</v>
      </c>
      <c r="D19" s="13"/>
      <c r="E19" s="13"/>
      <c r="F19" s="13"/>
    </row>
    <row r="20" ht="15.75" customHeight="1">
      <c r="A20" s="32" t="s">
        <v>116</v>
      </c>
      <c r="B20" s="41">
        <f t="shared" ref="B20:C20" si="8">B18+B19</f>
        <v>35062.25</v>
      </c>
      <c r="C20" s="41">
        <f t="shared" si="8"/>
        <v>7400.04</v>
      </c>
      <c r="D20" s="13"/>
      <c r="E20" s="13"/>
      <c r="F20" s="13"/>
    </row>
    <row r="21" ht="15.75" customHeight="1">
      <c r="A21" s="30" t="s">
        <v>281</v>
      </c>
      <c r="B21" s="71">
        <f t="shared" ref="B21:C21" si="9">B17/B16</f>
        <v>12.56208507</v>
      </c>
      <c r="C21" s="71">
        <f t="shared" si="9"/>
        <v>20.02086575</v>
      </c>
      <c r="D21" s="13"/>
      <c r="E21" s="13"/>
      <c r="F21" s="13"/>
    </row>
    <row r="22" ht="15.75" customHeight="1">
      <c r="A22" s="30" t="s">
        <v>282</v>
      </c>
      <c r="B22" s="71">
        <f t="shared" ref="B22:C22" si="10">B20/B7</f>
        <v>7.826395089</v>
      </c>
      <c r="C22" s="71">
        <f t="shared" si="10"/>
        <v>11.78350318</v>
      </c>
      <c r="D22" s="13"/>
      <c r="E22" s="13"/>
      <c r="F22" s="13"/>
    </row>
    <row r="23" ht="15.75" customHeight="1">
      <c r="A23" s="13"/>
      <c r="B23" s="13"/>
      <c r="C23" s="13"/>
      <c r="D23" s="13"/>
      <c r="E23" s="13"/>
      <c r="F23" s="13"/>
    </row>
    <row r="24" ht="15.0" customHeight="1">
      <c r="A24" s="27" t="s">
        <v>283</v>
      </c>
      <c r="B24" s="28"/>
      <c r="C24" s="28"/>
      <c r="D24" s="28"/>
      <c r="E24" s="28"/>
      <c r="F24" s="29"/>
    </row>
    <row r="25" ht="18.0" customHeight="1">
      <c r="A25" s="34" t="s">
        <v>284</v>
      </c>
      <c r="B25" s="34" t="s">
        <v>285</v>
      </c>
      <c r="C25" s="34" t="s">
        <v>286</v>
      </c>
      <c r="D25" s="34" t="s">
        <v>287</v>
      </c>
      <c r="E25" s="13"/>
      <c r="F25" s="13"/>
    </row>
    <row r="26" ht="15.75" customHeight="1">
      <c r="A26" s="30" t="s">
        <v>288</v>
      </c>
      <c r="B26" s="85">
        <v>32.5</v>
      </c>
      <c r="C26" s="85">
        <v>32.5</v>
      </c>
      <c r="D26" s="85">
        <v>32.5</v>
      </c>
      <c r="E26" s="13"/>
      <c r="F26" s="13"/>
    </row>
    <row r="27" ht="15.75" customHeight="1">
      <c r="A27" s="30" t="s">
        <v>289</v>
      </c>
      <c r="B27" s="37">
        <f>B26/C17-1</f>
        <v>0.2310606061</v>
      </c>
      <c r="C27" s="37">
        <f>C26/C17-1</f>
        <v>0.2310606061</v>
      </c>
      <c r="D27" s="37">
        <f>D26/C17-1</f>
        <v>0.2310606061</v>
      </c>
      <c r="E27" s="13"/>
      <c r="F27" s="13"/>
    </row>
    <row r="28" ht="15.75" customHeight="1">
      <c r="A28" s="32" t="s">
        <v>290</v>
      </c>
      <c r="B28" s="39">
        <f>B26*C15</f>
        <v>8079.5</v>
      </c>
      <c r="C28" s="39">
        <f>C26*C15</f>
        <v>8079.5</v>
      </c>
      <c r="D28" s="39">
        <f>D26*C15</f>
        <v>8079.5</v>
      </c>
      <c r="E28" s="13"/>
      <c r="F28" s="13"/>
    </row>
    <row r="29" ht="15.75" customHeight="1">
      <c r="A29" s="30" t="s">
        <v>291</v>
      </c>
      <c r="B29" s="31">
        <v>1.0</v>
      </c>
      <c r="C29" s="31">
        <v>0.0</v>
      </c>
      <c r="D29" s="31">
        <v>0.5</v>
      </c>
      <c r="E29" s="13"/>
      <c r="F29" s="13"/>
    </row>
    <row r="30" ht="15.75" customHeight="1">
      <c r="A30" s="30" t="s">
        <v>292</v>
      </c>
      <c r="B30" s="31">
        <v>0.0</v>
      </c>
      <c r="C30" s="31">
        <v>1.0</v>
      </c>
      <c r="D30" s="31">
        <v>0.5</v>
      </c>
      <c r="E30" s="13"/>
      <c r="F30" s="13"/>
    </row>
    <row r="31" ht="15.75" customHeight="1">
      <c r="A31" s="30" t="s">
        <v>293</v>
      </c>
      <c r="B31" s="39">
        <f t="shared" ref="B31:D31" si="11">B28*B29</f>
        <v>8079.5</v>
      </c>
      <c r="C31" s="39">
        <f t="shared" si="11"/>
        <v>0</v>
      </c>
      <c r="D31" s="39">
        <f t="shared" si="11"/>
        <v>4039.75</v>
      </c>
      <c r="E31" s="13"/>
      <c r="F31" s="13"/>
    </row>
    <row r="32" ht="15.75" customHeight="1">
      <c r="A32" s="30" t="s">
        <v>294</v>
      </c>
      <c r="B32" s="39">
        <f t="shared" ref="B32:D32" si="12">B28*B30</f>
        <v>0</v>
      </c>
      <c r="C32" s="39">
        <f t="shared" si="12"/>
        <v>8079.5</v>
      </c>
      <c r="D32" s="39">
        <f t="shared" si="12"/>
        <v>4039.75</v>
      </c>
      <c r="E32" s="13"/>
      <c r="F32" s="13"/>
    </row>
    <row r="33" ht="15.75" customHeight="1">
      <c r="A33" s="32" t="s">
        <v>295</v>
      </c>
      <c r="B33" s="76">
        <f>B32/B17</f>
        <v>0</v>
      </c>
      <c r="C33" s="76">
        <f>C32/B17</f>
        <v>165.7333333</v>
      </c>
      <c r="D33" s="76">
        <f>D32/B17</f>
        <v>82.86666667</v>
      </c>
      <c r="E33" s="13"/>
      <c r="F33" s="13"/>
    </row>
    <row r="34" ht="15.75" customHeight="1">
      <c r="A34" s="30" t="s">
        <v>296</v>
      </c>
      <c r="B34" s="33">
        <v>2000.0</v>
      </c>
      <c r="C34" s="33">
        <v>0.0</v>
      </c>
      <c r="D34" s="33">
        <v>1000.0</v>
      </c>
      <c r="E34" s="13"/>
      <c r="F34" s="13"/>
    </row>
    <row r="35" ht="15.75" customHeight="1">
      <c r="A35" s="30" t="s">
        <v>297</v>
      </c>
      <c r="B35" s="33">
        <v>837.0</v>
      </c>
      <c r="C35" s="33">
        <v>837.0</v>
      </c>
      <c r="D35" s="33">
        <v>837.0</v>
      </c>
      <c r="E35" s="13"/>
      <c r="F35" s="13"/>
    </row>
    <row r="36" ht="15.75" customHeight="1">
      <c r="A36" s="30" t="s">
        <v>298</v>
      </c>
      <c r="B36" s="33">
        <v>68.5</v>
      </c>
      <c r="C36" s="33">
        <v>68.5</v>
      </c>
      <c r="D36" s="33">
        <v>68.5</v>
      </c>
      <c r="E36" s="13"/>
      <c r="F36" s="13"/>
    </row>
    <row r="37" ht="15.75" customHeight="1">
      <c r="A37" s="32" t="s">
        <v>299</v>
      </c>
      <c r="B37" s="41">
        <f t="shared" ref="B37:D37" si="13">B28+B35+B36</f>
        <v>8985</v>
      </c>
      <c r="C37" s="41">
        <f t="shared" si="13"/>
        <v>8985</v>
      </c>
      <c r="D37" s="41">
        <f t="shared" si="13"/>
        <v>8985</v>
      </c>
      <c r="E37" s="13"/>
      <c r="F37" s="13"/>
    </row>
    <row r="38" ht="15.75" customHeight="1">
      <c r="A38" s="13"/>
      <c r="B38" s="13"/>
      <c r="C38" s="13"/>
      <c r="D38" s="13"/>
      <c r="E38" s="13"/>
      <c r="F38" s="13"/>
    </row>
    <row r="39" ht="15.0" customHeight="1">
      <c r="A39" s="27" t="s">
        <v>300</v>
      </c>
      <c r="B39" s="28"/>
      <c r="C39" s="28"/>
      <c r="D39" s="28"/>
      <c r="E39" s="28"/>
      <c r="F39" s="29"/>
    </row>
    <row r="40" ht="18.0" customHeight="1">
      <c r="A40" s="34" t="s">
        <v>301</v>
      </c>
      <c r="B40" s="34" t="s">
        <v>285</v>
      </c>
      <c r="C40" s="34" t="s">
        <v>286</v>
      </c>
      <c r="D40" s="34" t="s">
        <v>287</v>
      </c>
      <c r="E40" s="13"/>
      <c r="F40" s="13"/>
    </row>
    <row r="41" ht="15.75" customHeight="1">
      <c r="A41" s="30" t="s">
        <v>302</v>
      </c>
      <c r="B41" s="39">
        <f>B14</f>
        <v>2135.175</v>
      </c>
      <c r="C41" s="39">
        <f>B14</f>
        <v>2135.175</v>
      </c>
      <c r="D41" s="39">
        <f>B14</f>
        <v>2135.175</v>
      </c>
      <c r="E41" s="13"/>
      <c r="F41" s="13"/>
    </row>
    <row r="42" ht="15.75" customHeight="1">
      <c r="A42" s="30" t="s">
        <v>303</v>
      </c>
      <c r="B42" s="39">
        <f>C14</f>
        <v>327.81</v>
      </c>
      <c r="C42" s="39">
        <f>C14</f>
        <v>327.81</v>
      </c>
      <c r="D42" s="39">
        <f>C14</f>
        <v>327.81</v>
      </c>
      <c r="E42" s="13"/>
      <c r="F42" s="13"/>
    </row>
    <row r="43" ht="15.75" customHeight="1">
      <c r="A43" s="30" t="s">
        <v>304</v>
      </c>
      <c r="B43" s="39">
        <f t="shared" ref="B43:D43" si="14">-B34*0.0685</f>
        <v>-137</v>
      </c>
      <c r="C43" s="39">
        <f t="shared" si="14"/>
        <v>0</v>
      </c>
      <c r="D43" s="39">
        <f t="shared" si="14"/>
        <v>-68.5</v>
      </c>
      <c r="E43" s="13"/>
      <c r="F43" s="13"/>
    </row>
    <row r="44" ht="15.75" customHeight="1">
      <c r="A44" s="30" t="s">
        <v>305</v>
      </c>
      <c r="B44" s="39">
        <f t="shared" ref="B44:D44" si="15">B34*0.0685*0.265</f>
        <v>36.305</v>
      </c>
      <c r="C44" s="39">
        <f t="shared" si="15"/>
        <v>0</v>
      </c>
      <c r="D44" s="39">
        <f t="shared" si="15"/>
        <v>18.1525</v>
      </c>
      <c r="E44" s="13"/>
      <c r="F44" s="13"/>
    </row>
    <row r="45" ht="15.75" customHeight="1">
      <c r="A45" s="32" t="s">
        <v>306</v>
      </c>
      <c r="B45" s="41">
        <f t="shared" ref="B45:D45" si="16">B41+B42+B43+B44</f>
        <v>2362.29</v>
      </c>
      <c r="C45" s="41">
        <f t="shared" si="16"/>
        <v>2462.985</v>
      </c>
      <c r="D45" s="41">
        <f t="shared" si="16"/>
        <v>2412.6375</v>
      </c>
      <c r="E45" s="13"/>
      <c r="F45" s="13"/>
    </row>
    <row r="46" ht="15.75" customHeight="1">
      <c r="A46" s="30" t="s">
        <v>307</v>
      </c>
      <c r="B46" s="76">
        <f>B15</f>
        <v>550.2</v>
      </c>
      <c r="C46" s="76">
        <f>B15</f>
        <v>550.2</v>
      </c>
      <c r="D46" s="76">
        <f>B15</f>
        <v>550.2</v>
      </c>
      <c r="E46" s="13"/>
      <c r="F46" s="13"/>
    </row>
    <row r="47" ht="15.75" customHeight="1">
      <c r="A47" s="30" t="s">
        <v>308</v>
      </c>
      <c r="B47" s="76">
        <f t="shared" ref="B47:D47" si="17">B33</f>
        <v>0</v>
      </c>
      <c r="C47" s="76">
        <f t="shared" si="17"/>
        <v>165.7333333</v>
      </c>
      <c r="D47" s="76">
        <f t="shared" si="17"/>
        <v>82.86666667</v>
      </c>
      <c r="E47" s="13"/>
      <c r="F47" s="13"/>
    </row>
    <row r="48" ht="15.75" customHeight="1">
      <c r="A48" s="32" t="s">
        <v>309</v>
      </c>
      <c r="B48" s="86">
        <f t="shared" ref="B48:D48" si="18">B46+B47</f>
        <v>550.2</v>
      </c>
      <c r="C48" s="86">
        <f t="shared" si="18"/>
        <v>715.9333333</v>
      </c>
      <c r="D48" s="86">
        <f t="shared" si="18"/>
        <v>633.0666667</v>
      </c>
      <c r="E48" s="13"/>
      <c r="F48" s="13"/>
    </row>
    <row r="49" ht="15.75" customHeight="1">
      <c r="A49" s="32" t="s">
        <v>310</v>
      </c>
      <c r="B49" s="50">
        <f t="shared" ref="B49:D49" si="19">B45/B48</f>
        <v>4.29351145</v>
      </c>
      <c r="C49" s="50">
        <f t="shared" si="19"/>
        <v>3.440243505</v>
      </c>
      <c r="D49" s="50">
        <f t="shared" si="19"/>
        <v>3.811032277</v>
      </c>
      <c r="E49" s="13"/>
      <c r="F49" s="13"/>
    </row>
    <row r="50" ht="15.75" customHeight="1">
      <c r="A50" s="30" t="s">
        <v>311</v>
      </c>
      <c r="B50" s="87">
        <f>B16</f>
        <v>3.880725191</v>
      </c>
      <c r="C50" s="87">
        <f>B16</f>
        <v>3.880725191</v>
      </c>
      <c r="D50" s="87">
        <f>B16</f>
        <v>3.880725191</v>
      </c>
      <c r="E50" s="13"/>
      <c r="F50" s="13"/>
    </row>
    <row r="51" ht="15.75" customHeight="1">
      <c r="A51" s="32" t="s">
        <v>312</v>
      </c>
      <c r="B51" s="88">
        <f t="shared" ref="B51:D51" si="20">B49-B50</f>
        <v>0.4127862595</v>
      </c>
      <c r="C51" s="88">
        <f t="shared" si="20"/>
        <v>-0.4404816859</v>
      </c>
      <c r="D51" s="88">
        <f t="shared" si="20"/>
        <v>-0.06969291409</v>
      </c>
      <c r="E51" s="13"/>
      <c r="F51" s="13"/>
    </row>
    <row r="52" ht="15.75" customHeight="1">
      <c r="A52" s="32" t="s">
        <v>313</v>
      </c>
      <c r="B52" s="44">
        <f t="shared" ref="B52:D52" si="21">(B49-B50)/ABS(B50)</f>
        <v>0.1063683305</v>
      </c>
      <c r="C52" s="44">
        <f t="shared" si="21"/>
        <v>-0.1135049931</v>
      </c>
      <c r="D52" s="44">
        <f t="shared" si="21"/>
        <v>-0.01795873469</v>
      </c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5">
    <mergeCell ref="A1:F1"/>
    <mergeCell ref="A2:F2"/>
    <mergeCell ref="A4:F4"/>
    <mergeCell ref="A24:F24"/>
    <mergeCell ref="A39:F3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8.0"/>
    <col customWidth="1" min="5" max="5" width="64.71"/>
    <col customWidth="1" min="6" max="26" width="8.71"/>
  </cols>
  <sheetData>
    <row r="1" ht="24.0" customHeight="1">
      <c r="A1" s="22" t="s">
        <v>314</v>
      </c>
      <c r="B1" s="10"/>
      <c r="C1" s="10"/>
      <c r="D1" s="10"/>
      <c r="E1" s="11"/>
    </row>
    <row r="2" ht="15.75" customHeight="1">
      <c r="A2" s="23" t="s">
        <v>315</v>
      </c>
      <c r="B2" s="10"/>
      <c r="C2" s="10"/>
      <c r="D2" s="10"/>
      <c r="E2" s="11"/>
    </row>
    <row r="3">
      <c r="A3" s="13"/>
      <c r="B3" s="13"/>
      <c r="C3" s="13"/>
      <c r="D3" s="13"/>
      <c r="E3" s="13"/>
    </row>
    <row r="4" ht="19.5" customHeight="1">
      <c r="A4" s="14" t="s">
        <v>316</v>
      </c>
      <c r="B4" s="14" t="s">
        <v>317</v>
      </c>
      <c r="C4" s="14" t="s">
        <v>318</v>
      </c>
      <c r="D4" s="14" t="s">
        <v>319</v>
      </c>
      <c r="E4" s="14" t="s">
        <v>320</v>
      </c>
    </row>
    <row r="5" ht="19.5" customHeight="1">
      <c r="A5" s="89" t="s">
        <v>321</v>
      </c>
      <c r="B5" s="85">
        <v>22.8</v>
      </c>
      <c r="C5" s="85">
        <v>31.4</v>
      </c>
      <c r="D5" s="50">
        <f t="shared" ref="D5:D12" si="1">(B5+C5)/2</f>
        <v>27.1</v>
      </c>
      <c r="E5" s="90" t="s">
        <v>322</v>
      </c>
    </row>
    <row r="6" ht="19.5" customHeight="1">
      <c r="A6" s="91" t="s">
        <v>323</v>
      </c>
      <c r="B6" s="85">
        <v>28.0</v>
      </c>
      <c r="C6" s="85">
        <v>35.5</v>
      </c>
      <c r="D6" s="50">
        <f t="shared" si="1"/>
        <v>31.75</v>
      </c>
      <c r="E6" s="90" t="s">
        <v>324</v>
      </c>
    </row>
    <row r="7" ht="19.5" customHeight="1">
      <c r="A7" s="89" t="s">
        <v>325</v>
      </c>
      <c r="B7" s="85">
        <v>24.5</v>
      </c>
      <c r="C7" s="85">
        <v>38.8</v>
      </c>
      <c r="D7" s="50">
        <f t="shared" si="1"/>
        <v>31.65</v>
      </c>
      <c r="E7" s="90" t="s">
        <v>326</v>
      </c>
    </row>
    <row r="8" ht="19.5" customHeight="1">
      <c r="A8" s="91" t="s">
        <v>327</v>
      </c>
      <c r="B8" s="85">
        <v>22.1</v>
      </c>
      <c r="C8" s="85">
        <v>34.6</v>
      </c>
      <c r="D8" s="50">
        <f t="shared" si="1"/>
        <v>28.35</v>
      </c>
      <c r="E8" s="90" t="s">
        <v>328</v>
      </c>
    </row>
    <row r="9" ht="19.5" customHeight="1">
      <c r="A9" s="89" t="s">
        <v>16</v>
      </c>
      <c r="B9" s="85">
        <v>27.8</v>
      </c>
      <c r="C9" s="85">
        <v>42.5</v>
      </c>
      <c r="D9" s="50">
        <f t="shared" si="1"/>
        <v>35.15</v>
      </c>
      <c r="E9" s="90" t="s">
        <v>329</v>
      </c>
    </row>
    <row r="10" ht="19.5" customHeight="1">
      <c r="A10" s="91" t="s">
        <v>330</v>
      </c>
      <c r="B10" s="85">
        <v>21.4</v>
      </c>
      <c r="C10" s="85">
        <v>29.8</v>
      </c>
      <c r="D10" s="50">
        <f t="shared" si="1"/>
        <v>25.6</v>
      </c>
      <c r="E10" s="90" t="s">
        <v>331</v>
      </c>
    </row>
    <row r="11" ht="19.5" customHeight="1">
      <c r="A11" s="89" t="s">
        <v>332</v>
      </c>
      <c r="B11" s="85">
        <v>26.4</v>
      </c>
      <c r="C11" s="85">
        <v>26.4</v>
      </c>
      <c r="D11" s="50">
        <f t="shared" si="1"/>
        <v>26.4</v>
      </c>
      <c r="E11" s="90" t="s">
        <v>333</v>
      </c>
    </row>
    <row r="12" ht="19.5" customHeight="1">
      <c r="A12" s="91" t="s">
        <v>334</v>
      </c>
      <c r="B12" s="85">
        <v>32.5</v>
      </c>
      <c r="C12" s="85">
        <v>32.5</v>
      </c>
      <c r="D12" s="50">
        <f t="shared" si="1"/>
        <v>32.5</v>
      </c>
      <c r="E12" s="90" t="s">
        <v>335</v>
      </c>
    </row>
    <row r="13">
      <c r="A13" s="13"/>
      <c r="B13" s="13"/>
      <c r="C13" s="13"/>
      <c r="D13" s="13"/>
      <c r="E13" s="13"/>
    </row>
    <row r="14" ht="15.0" customHeight="1">
      <c r="A14" s="27" t="s">
        <v>336</v>
      </c>
      <c r="B14" s="28"/>
      <c r="C14" s="28"/>
      <c r="D14" s="28"/>
      <c r="E14" s="29"/>
    </row>
    <row r="15" ht="72.0" customHeight="1">
      <c r="A15" s="92" t="s">
        <v>337</v>
      </c>
    </row>
    <row r="16">
      <c r="A16" s="13"/>
      <c r="B16" s="13"/>
      <c r="C16" s="13"/>
      <c r="D16" s="13"/>
      <c r="E16" s="13"/>
    </row>
    <row r="17">
      <c r="A17" s="13"/>
      <c r="B17" s="13"/>
      <c r="C17" s="13"/>
      <c r="D17" s="13"/>
      <c r="E17" s="13"/>
    </row>
    <row r="18">
      <c r="A18" s="13"/>
      <c r="B18" s="13"/>
      <c r="C18" s="13"/>
      <c r="D18" s="13"/>
      <c r="E18" s="13"/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mergeCells count="4">
    <mergeCell ref="A1:E1"/>
    <mergeCell ref="A2:E2"/>
    <mergeCell ref="A14:E14"/>
    <mergeCell ref="A15:E15"/>
  </mergeCells>
  <printOptions/>
  <pageMargins bottom="1.0" footer="0.0" header="0.0" left="0.75" right="0.75" top="1.0"/>
  <pageSetup paperSize="9" orientation="portrait"/>
  <drawing r:id="rId1"/>
</worksheet>
</file>