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vatsalchavda/Desktop/Co-op/BitcoinXAPO/"/>
    </mc:Choice>
  </mc:AlternateContent>
  <xr:revisionPtr revIDLastSave="0" documentId="8_{0BAD3A54-380E-3941-B7C7-20EC7D6DBF2E}" xr6:coauthVersionLast="47" xr6:coauthVersionMax="47" xr10:uidLastSave="{00000000-0000-0000-0000-000000000000}"/>
  <bookViews>
    <workbookView xWindow="0" yWindow="720" windowWidth="29400" windowHeight="18400" tabRatio="500" xr2:uid="{00000000-000D-0000-FFFF-FFFF00000000}"/>
  </bookViews>
  <sheets>
    <sheet name="Overview" sheetId="1" r:id="rId1"/>
    <sheet name="Risk &amp; Return" sheetId="2" r:id="rId2"/>
    <sheet name="Correlation" sheetId="3" r:id="rId3"/>
    <sheet name="On-Chain Metrics" sheetId="4" r:id="rId4"/>
    <sheet name="IFRS Accounting" sheetId="5" r:id="rId5"/>
    <sheet name="Regulatory Summ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3" i="2" l="1"/>
  <c r="F32" i="2"/>
  <c r="F31" i="2"/>
  <c r="F30" i="2"/>
  <c r="F29" i="2"/>
</calcChain>
</file>

<file path=xl/sharedStrings.xml><?xml version="1.0" encoding="utf-8"?>
<sst xmlns="http://schemas.openxmlformats.org/spreadsheetml/2006/main" count="505" uniqueCount="434">
  <si>
    <t>Financial Analysis — Independent Research Project</t>
  </si>
  <si>
    <t>Vatsal Chavda  |  Honours BComm Finance  |  Seneca Polytechnic</t>
  </si>
  <si>
    <t>PROJECT OVERVIEW</t>
  </si>
  <si>
    <t>This workbook applies traditional finance frameworks to Bitcoin and digital assets. Analysis spans risk-adjusted return metrics (Sharpe, Sortino, max drawdown), cross-asset correlations, on-chain valuation signals (MVRV, NVT), and IFRS accounting treatment simulation — the same standards a crypto-native bank like Xapo would apply.</t>
  </si>
  <si>
    <t>WORKBOOK CONTENTS</t>
  </si>
  <si>
    <t>Sheet</t>
  </si>
  <si>
    <t>Description</t>
  </si>
  <si>
    <t>1. Overview</t>
  </si>
  <si>
    <t>This page — project summary and key findings</t>
  </si>
  <si>
    <t>2. Risk &amp; Return</t>
  </si>
  <si>
    <t>Annualised return, volatility, Sharpe, Sortino, max drawdown</t>
  </si>
  <si>
    <t>3. Correlation</t>
  </si>
  <si>
    <t>BTC vs S&amp;P 500, Gold, Bonds — Pearson correlation matrix</t>
  </si>
  <si>
    <t>4. On-Chain Metrics</t>
  </si>
  <si>
    <t>MVRV ratio, NVT ratio, Realised Cap — network valuation</t>
  </si>
  <si>
    <t>5. IFRS Accounting</t>
  </si>
  <si>
    <t>IAS 38 vs IFRS 9 vs IAS 2 — institutional accounting treatment</t>
  </si>
  <si>
    <t>6. Regulatory Summary</t>
  </si>
  <si>
    <t>MiCA, OSFI, Basel III, IASB 2023 amendment overview</t>
  </si>
  <si>
    <t>KEY FINDINGS AT A GLANCE</t>
  </si>
  <si>
    <t>Metric</t>
  </si>
  <si>
    <t>Value</t>
  </si>
  <si>
    <t>Benchmark</t>
  </si>
  <si>
    <t>Signal</t>
  </si>
  <si>
    <t>Source</t>
  </si>
  <si>
    <t>Annualised Return (2020–24)</t>
  </si>
  <si>
    <t>~62.4%</t>
  </si>
  <si>
    <t>S&amp;P 500: ~14.2%</t>
  </si>
  <si>
    <t>Outperforms significantly</t>
  </si>
  <si>
    <t>Yahoo Finance / YF</t>
  </si>
  <si>
    <t>Annualised Volatility</t>
  </si>
  <si>
    <t>~68.2%</t>
  </si>
  <si>
    <t>S&amp;P 500: ~18.0%</t>
  </si>
  <si>
    <t>High — risk premium justified</t>
  </si>
  <si>
    <t>Sharpe Ratio</t>
  </si>
  <si>
    <t>0.84</t>
  </si>
  <si>
    <t>&gt;1.0 = excellent</t>
  </si>
  <si>
    <t>Acceptable risk-adjusted</t>
  </si>
  <si>
    <t>Calculated</t>
  </si>
  <si>
    <t>Sortino Ratio</t>
  </si>
  <si>
    <t>1.21</t>
  </si>
  <si>
    <t>&gt;1.0 = good</t>
  </si>
  <si>
    <t>Strong downside adj. return</t>
  </si>
  <si>
    <t>Max Drawdown</t>
  </si>
  <si>
    <t>-77.3%</t>
  </si>
  <si>
    <t>S&amp;P 500: -24.5%</t>
  </si>
  <si>
    <t>Extreme — sizing is key</t>
  </si>
  <si>
    <t>Nov 2021–Nov 2022</t>
  </si>
  <si>
    <t>BTC–Gold Correlation</t>
  </si>
  <si>
    <t>~0.08</t>
  </si>
  <si>
    <t>&lt;0.3 = low</t>
  </si>
  <si>
    <t>Weak digital gold thesis</t>
  </si>
  <si>
    <t>Yahoo Finance</t>
  </si>
  <si>
    <t>BTC–Nasdaq Correlation</t>
  </si>
  <si>
    <t>~0.52</t>
  </si>
  <si>
    <t>&gt;0.5 = moderate</t>
  </si>
  <si>
    <t>Risk-on asset behaviour</t>
  </si>
  <si>
    <t>Current MVRV Ratio</t>
  </si>
  <si>
    <t>~2.1x</t>
  </si>
  <si>
    <t>&gt;3.5 = overvalued</t>
  </si>
  <si>
    <t>Neutral zone</t>
  </si>
  <si>
    <t>CoinGecko API</t>
  </si>
  <si>
    <t>IFRS Treatment (post-2025)</t>
  </si>
  <si>
    <t>IFRS 9 FVTPL</t>
  </si>
  <si>
    <t>IAS 38 prior</t>
  </si>
  <si>
    <t>Fair value now required</t>
  </si>
  <si>
    <t>IASB 2023 Amend.</t>
  </si>
  <si>
    <t>RISK &amp; RETURN ANALYSIS — Bitcoin (BTC-USD)  |  2020–2024</t>
  </si>
  <si>
    <t>Annualised Metrics  |  Risk-Free Rate: 5.25% (US Fed Funds 2023/24 proxy)</t>
  </si>
  <si>
    <t>ASSUMPTIONS (Blue = Hardcoded Input)</t>
  </si>
  <si>
    <t>Assumption</t>
  </si>
  <si>
    <t>Notes</t>
  </si>
  <si>
    <t>Risk-Free Rate</t>
  </si>
  <si>
    <t>US Fed Funds rate proxy 2023/24</t>
  </si>
  <si>
    <t>Trading Days per Year</t>
  </si>
  <si>
    <t>BTC trades 24/7/365</t>
  </si>
  <si>
    <t>Analysis Period</t>
  </si>
  <si>
    <t>2020–2024</t>
  </si>
  <si>
    <t>5-year study period</t>
  </si>
  <si>
    <t>Rolling Volatility Window</t>
  </si>
  <si>
    <t>Days for rolling vol calculation</t>
  </si>
  <si>
    <t>CORE RISK-ADJUSTED METRICS</t>
  </si>
  <si>
    <t>Bitcoin</t>
  </si>
  <si>
    <t>S&amp;P 500</t>
  </si>
  <si>
    <t>Gold (GLD)</t>
  </si>
  <si>
    <t>Interpretation</t>
  </si>
  <si>
    <t>Annualised Return</t>
  </si>
  <si>
    <t>62.4%</t>
  </si>
  <si>
    <t>14.2%</t>
  </si>
  <si>
    <t>8.3%</t>
  </si>
  <si>
    <t>BTC delivered ~4x S&amp;P return</t>
  </si>
  <si>
    <t>68.2%</t>
  </si>
  <si>
    <t>18.0%</t>
  </si>
  <si>
    <t>13.5%</t>
  </si>
  <si>
    <t>~3.8x more volatile than S&amp;P 500</t>
  </si>
  <si>
    <t>0.51</t>
  </si>
  <si>
    <t>0.23</t>
  </si>
  <si>
    <t>Higher than S&amp;P despite extreme vol</t>
  </si>
  <si>
    <t>Rf = 5.25%</t>
  </si>
  <si>
    <t>0.73</t>
  </si>
  <si>
    <t>0.31</t>
  </si>
  <si>
    <t>Strong downside-adjusted return</t>
  </si>
  <si>
    <t>Downside σ only</t>
  </si>
  <si>
    <t>-24.5%</t>
  </si>
  <si>
    <t>-21.0%</t>
  </si>
  <si>
    <t>Nov 2021–Nov 2022 crypto winter</t>
  </si>
  <si>
    <t>Calmar Ratio</t>
  </si>
  <si>
    <t>0.81</t>
  </si>
  <si>
    <t>0.58</t>
  </si>
  <si>
    <t>0.40</t>
  </si>
  <si>
    <t>Return / Max Drawdown — BTC leads</t>
  </si>
  <si>
    <t>Beta vs S&amp;P 500</t>
  </si>
  <si>
    <t>~1.15</t>
  </si>
  <si>
    <t>1.00</t>
  </si>
  <si>
    <t>0.02</t>
  </si>
  <si>
    <t>Slightly amplifies broad market moves</t>
  </si>
  <si>
    <t>Rolling 3Y</t>
  </si>
  <si>
    <t>Best Month</t>
  </si>
  <si>
    <t>+46.5%</t>
  </si>
  <si>
    <t>+12.8%</t>
  </si>
  <si>
    <t>+8.4%</t>
  </si>
  <si>
    <t>Oct 2021 — pre-ATH run</t>
  </si>
  <si>
    <t>Worst Month</t>
  </si>
  <si>
    <t>-37.2%</t>
  </si>
  <si>
    <t>-9.2%</t>
  </si>
  <si>
    <t>-6.1%</t>
  </si>
  <si>
    <t>Jun 2022 — LUNA/Terra collapse contagion</t>
  </si>
  <si>
    <t>ANNUAL RETURNS BY YEAR</t>
  </si>
  <si>
    <t>Year</t>
  </si>
  <si>
    <t>Gold</t>
  </si>
  <si>
    <t>BTC vs S&amp;P (diff)</t>
  </si>
  <si>
    <t>2020</t>
  </si>
  <si>
    <t>Post-COVID recovery; institutional adoption begins</t>
  </si>
  <si>
    <t>2021</t>
  </si>
  <si>
    <t>ATH $69K Nov 2021; El Salvador BTC legal tender</t>
  </si>
  <si>
    <t>2022</t>
  </si>
  <si>
    <t>LUNA collapse, FTX bankruptcy, crypto winter</t>
  </si>
  <si>
    <t>2023</t>
  </si>
  <si>
    <t>Recovery; BlackRock Bitcoin ETF filing</t>
  </si>
  <si>
    <t>2024</t>
  </si>
  <si>
    <t>Spot ETF approvals Jan 2024; halving Apr 2024</t>
  </si>
  <si>
    <t>DRAWDOWN ANALYSIS — Context</t>
  </si>
  <si>
    <t>Event</t>
  </si>
  <si>
    <t>Date</t>
  </si>
  <si>
    <t>Price</t>
  </si>
  <si>
    <t>Note</t>
  </si>
  <si>
    <t>Peak</t>
  </si>
  <si>
    <t>Nov 10, 2021</t>
  </si>
  <si>
    <t>$68,789</t>
  </si>
  <si>
    <t>All-time high at time</t>
  </si>
  <si>
    <t>Trough</t>
  </si>
  <si>
    <t>Nov 21, 2022</t>
  </si>
  <si>
    <t>$15,742</t>
  </si>
  <si>
    <t>Post-FTX collapse low</t>
  </si>
  <si>
    <t>Drawdown</t>
  </si>
  <si>
    <t>—</t>
  </si>
  <si>
    <t>Deepest decline in study period</t>
  </si>
  <si>
    <t>Recovery</t>
  </si>
  <si>
    <t>Mar 5, 2024</t>
  </si>
  <si>
    <t>$68,300+</t>
  </si>
  <si>
    <t>New ATH reached ~16 months later</t>
  </si>
  <si>
    <t>Duration</t>
  </si>
  <si>
    <t>~16 months</t>
  </si>
  <si>
    <t>Peak-to-trough-to-recovery</t>
  </si>
  <si>
    <t>CORRELATION ANALYSIS — Bitcoin vs Traditional Asset Classes  |  2020–2024</t>
  </si>
  <si>
    <t>Pearson Correlation  |  Daily Returns  |  Sources: Yahoo Finance</t>
  </si>
  <si>
    <t>FULL-PERIOD PEARSON CORRELATION MATRIX (2020–2024)</t>
  </si>
  <si>
    <t>Asset</t>
  </si>
  <si>
    <t>BTC</t>
  </si>
  <si>
    <t>Nasdaq</t>
  </si>
  <si>
    <t>Bonds (TLT)</t>
  </si>
  <si>
    <t>HEATMAP LEGEND</t>
  </si>
  <si>
    <t>Range</t>
  </si>
  <si>
    <t>Color</t>
  </si>
  <si>
    <t>≥ 0.70</t>
  </si>
  <si>
    <t>Strong positive — assets move tightly together</t>
  </si>
  <si>
    <t>0.40–0.69</t>
  </si>
  <si>
    <t>Moderate positive — meaningful co-movement</t>
  </si>
  <si>
    <t>0.20–0.39</t>
  </si>
  <si>
    <t>Weak positive</t>
  </si>
  <si>
    <t>0.00–0.19</t>
  </si>
  <si>
    <t>Negligible positive</t>
  </si>
  <si>
    <t>-0.29–0.00</t>
  </si>
  <si>
    <t>Weak to moderate negative</t>
  </si>
  <si>
    <t>≤ -0.30</t>
  </si>
  <si>
    <t>Strong negative — diversification benefit</t>
  </si>
  <si>
    <t>KEY INSIGHTS</t>
  </si>
  <si>
    <t>Pair</t>
  </si>
  <si>
    <t>Insight</t>
  </si>
  <si>
    <t>BTC–Nasdaq (0.520)</t>
  </si>
  <si>
    <t>Moderate positive link — BTC behaves as a risk-on asset, especially during tech rallies and sell-offs.</t>
  </si>
  <si>
    <t>BTC–S&amp;P 500 (0.412)</t>
  </si>
  <si>
    <t>Meaningful correlation spikes during market stress (2022 sell-off), limiting short-term diversification.</t>
  </si>
  <si>
    <t>BTC–Gold (0.082)</t>
  </si>
  <si>
    <t>Very low — partially supports the 'digital gold' thesis, but correlation is inconsistent over time.</t>
  </si>
  <si>
    <t>BTC–Bonds (-0.215)</t>
  </si>
  <si>
    <t>Slight negative correlation — both tend to move in opposite directions in rate-sensitive environments.</t>
  </si>
  <si>
    <t>2022 Observation</t>
  </si>
  <si>
    <t>BTC–equity correlations surged toward 0.70+ during the 2022 macro sell-off, highlighting tail-risk dependency.</t>
  </si>
  <si>
    <t>Portfolio Implication</t>
  </si>
  <si>
    <t>BTC adds diversification in calm markets but can increase portfolio risk during macro stress events.</t>
  </si>
  <si>
    <t>ON-CHAIN METRICS — Bitcoin Network Valuation  |  2020–2024</t>
  </si>
  <si>
    <t>MVRV Ratio  |  NVT Ratio  |  Realised Cap  |  UTXO Model  |  Source: CoinGecko</t>
  </si>
  <si>
    <t>ON-CHAIN METRIC DEFINITIONS</t>
  </si>
  <si>
    <t>Formula</t>
  </si>
  <si>
    <t>Analogy</t>
  </si>
  <si>
    <t>Signal Thresholds</t>
  </si>
  <si>
    <t>Data Source</t>
  </si>
  <si>
    <t>MVRV Ratio</t>
  </si>
  <si>
    <t>Market Cap ÷ Realised Cap</t>
  </si>
  <si>
    <t>Price-to-Book equivalent</t>
  </si>
  <si>
    <t>&gt;3.5 overvalued  |  &lt;1.0 undervalued</t>
  </si>
  <si>
    <t>CoinGecko / Glassnode</t>
  </si>
  <si>
    <t>NVT Ratio</t>
  </si>
  <si>
    <t>Market Cap ÷ Tx Volume (28d)</t>
  </si>
  <si>
    <t>P/E ratio equivalent</t>
  </si>
  <si>
    <t>&gt;65 overvalued   |  &lt;30 undervalued</t>
  </si>
  <si>
    <t>Realised Cap</t>
  </si>
  <si>
    <t>Σ (coins × price at last move)</t>
  </si>
  <si>
    <t>Aggregate cost basis</t>
  </si>
  <si>
    <t>Stable floor — less volatile than mkt</t>
  </si>
  <si>
    <t>Glassnode</t>
  </si>
  <si>
    <t>SOPR</t>
  </si>
  <si>
    <t>Spent Output Profit Ratio</t>
  </si>
  <si>
    <t>Profit/loss on coins moved</t>
  </si>
  <si>
    <t>&gt;1.0 = profit   |  &lt;1.0 = loss</t>
  </si>
  <si>
    <t>Hash Rate</t>
  </si>
  <si>
    <t>TH/s — computational power</t>
  </si>
  <si>
    <t>Network health indicator</t>
  </si>
  <si>
    <t>Rising = miner confidence</t>
  </si>
  <si>
    <t>Blockchain.info</t>
  </si>
  <si>
    <t>HISTORICAL MVRV RATIO SNAPSHOTS</t>
  </si>
  <si>
    <t>BTC Price</t>
  </si>
  <si>
    <t>MVRV (approx.)</t>
  </si>
  <si>
    <t>Zone</t>
  </si>
  <si>
    <t>Market Event</t>
  </si>
  <si>
    <t>Jan 2020</t>
  </si>
  <si>
    <t>$7,200</t>
  </si>
  <si>
    <t>1.2</t>
  </si>
  <si>
    <t>Neutral</t>
  </si>
  <si>
    <t>Pre-pandemic baseline</t>
  </si>
  <si>
    <t>Apr 2021</t>
  </si>
  <si>
    <t>$58,800</t>
  </si>
  <si>
    <t>3.8</t>
  </si>
  <si>
    <t>First 2021 ATH attempt</t>
  </si>
  <si>
    <t>Nov 2021</t>
  </si>
  <si>
    <t>4.1</t>
  </si>
  <si>
    <t>Absolute cycle ATH</t>
  </si>
  <si>
    <t>Jun 2022</t>
  </si>
  <si>
    <t>$20,100</t>
  </si>
  <si>
    <t>0.8</t>
  </si>
  <si>
    <t>LUNA/Terra collapse aftermath</t>
  </si>
  <si>
    <t>Nov 2022</t>
  </si>
  <si>
    <t>0.6</t>
  </si>
  <si>
    <t>FTX bankruptcy — cycle low</t>
  </si>
  <si>
    <t>Jan 2024</t>
  </si>
  <si>
    <t>$42,800</t>
  </si>
  <si>
    <t>1.8</t>
  </si>
  <si>
    <t>Spot ETF approval</t>
  </si>
  <si>
    <t>Mar 2024</t>
  </si>
  <si>
    <t>$71,400</t>
  </si>
  <si>
    <t>2.7</t>
  </si>
  <si>
    <t>Elevated</t>
  </si>
  <si>
    <t>New ATH — post-halving anticipation</t>
  </si>
  <si>
    <t>Dec 2024</t>
  </si>
  <si>
    <t>$95,000</t>
  </si>
  <si>
    <t>3.1</t>
  </si>
  <si>
    <t>Post-election rally</t>
  </si>
  <si>
    <t>UTXO MODEL — Reconciliation Implications for Crypto Banking</t>
  </si>
  <si>
    <t>Topic</t>
  </si>
  <si>
    <t>Explanation</t>
  </si>
  <si>
    <t>UTXO vs Ledger</t>
  </si>
  <si>
    <t>Traditional banks confirm balance via central counterparty. Bitcoin confirms via scanning the entire UTXO set on-chain — no custodian required.</t>
  </si>
  <si>
    <t>Transaction Flow</t>
  </si>
  <si>
    <t>Input: UTXO_A (0.5 BTC) consumed → Output: UTXO_B (0.3 BTC) to recipient + UTXO_C (0.19 BTC) change + 0.01 BTC miner fee</t>
  </si>
  <si>
    <t>Reconciliation</t>
  </si>
  <si>
    <t>For a crypto bank, reconciliation = verifying UTXO states on-chain rather than matching nostro/vostro balances with a correspondent bank</t>
  </si>
  <si>
    <t>Internal Controls</t>
  </si>
  <si>
    <t>Address reuse, change address tracking, and hot/cold wallet segregation all create unique control design requirements vs traditional finance</t>
  </si>
  <si>
    <t>Audit Advantage</t>
  </si>
  <si>
    <t>Bitcoin's UTXO trail is fully public, immutable, and auditable in real-time — superior transparency vs traditional custodian confirmation</t>
  </si>
  <si>
    <t>Proof of Reserves</t>
  </si>
  <si>
    <t>On-chain UTXO verification enables cryptographic proof-of-reserves — a key differentiator for regulated crypto banks like Xapo</t>
  </si>
  <si>
    <t>IFRS ACCOUNTING TREATMENT — Bitcoin Holdings at a Financial Institution</t>
  </si>
  <si>
    <t>IAS 38  |  IFRS 9  |  IAS 2  |  IASB 2023 Amendments (effective Jan 2025)</t>
  </si>
  <si>
    <t>SCENARIO ASSUMPTIONS (Blue = Hardcoded Input)</t>
  </si>
  <si>
    <t>Parameter</t>
  </si>
  <si>
    <t>Acquisition Date</t>
  </si>
  <si>
    <t>Jan 1, 2022</t>
  </si>
  <si>
    <t>Start of analysis period</t>
  </si>
  <si>
    <t>Acquisition Price</t>
  </si>
  <si>
    <t>$47,686.81</t>
  </si>
  <si>
    <t>BTC-USD closing price — Yahoo Finance</t>
  </si>
  <si>
    <t>Units Held</t>
  </si>
  <si>
    <t>10 BTC</t>
  </si>
  <si>
    <t>Hypothetical institutional holding</t>
  </si>
  <si>
    <t>Total Cost Basis</t>
  </si>
  <si>
    <t>$476,868.10</t>
  </si>
  <si>
    <t>10 × $47,686.81</t>
  </si>
  <si>
    <t>Latest Price (2024)</t>
  </si>
  <si>
    <t>~$95,000</t>
  </si>
  <si>
    <t>End of study period</t>
  </si>
  <si>
    <t>Economic Gain/Loss</t>
  </si>
  <si>
    <t>~+$473,132</t>
  </si>
  <si>
    <t>Unrealised at fair value</t>
  </si>
  <si>
    <t>Tax Rate (illustrative)</t>
  </si>
  <si>
    <t>26.5%</t>
  </si>
  <si>
    <t>Blended corporate rate — illustrative only</t>
  </si>
  <si>
    <t>IFRS STANDARDS COMPARISON</t>
  </si>
  <si>
    <t>Standard</t>
  </si>
  <si>
    <t>Classification</t>
  </si>
  <si>
    <t>Measurement Basis</t>
  </si>
  <si>
    <t>P&amp;L Treatment</t>
  </si>
  <si>
    <t>Carrying Amount (Dec 2024)</t>
  </si>
  <si>
    <t>Key Issue</t>
  </si>
  <si>
    <t>IAS 38
(Intangible Asset)</t>
  </si>
  <si>
    <t>Indefinite life
intangible</t>
  </si>
  <si>
    <t>Cost less impairment
(cost model)</t>
  </si>
  <si>
    <t>Impairment losses only;
no upward revaluation</t>
  </si>
  <si>
    <t>~$300,000
(impaired during 2022)</t>
  </si>
  <si>
    <t>Hidden gains — balance sheet
understates asset value in bull markets</t>
  </si>
  <si>
    <t>IAS 38
(Revaluation Model)</t>
  </si>
  <si>
    <t>Fair value (if active
market exists)</t>
  </si>
  <si>
    <t>Gains → OCI;
Losses → P&amp;L</t>
  </si>
  <si>
    <t>~$950,000
(fair value)</t>
  </si>
  <si>
    <t>Gains bypass P&amp;L — misleading
earnings picture</t>
  </si>
  <si>
    <t>IFRS 9
(FVTPL)</t>
  </si>
  <si>
    <t>Financial asset
(held for trading)</t>
  </si>
  <si>
    <t>Fair value
through P&amp;L</t>
  </si>
  <si>
    <t>ALL gains and losses
through P&amp;L immediately</t>
  </si>
  <si>
    <t>P&amp;L volatility — extreme
earnings swings for large holders</t>
  </si>
  <si>
    <t>IAS 2
(Inventories)</t>
  </si>
  <si>
    <t>Inventory
(broker-dealers)</t>
  </si>
  <si>
    <t>Lower of cost
or NRV</t>
  </si>
  <si>
    <t>Write-downs expense;
write-ups allowed</t>
  </si>
  <si>
    <t>~$474,000
(lower of cost/NRV)</t>
  </si>
  <si>
    <t>Only for entities holding
crypto for sale in ordinary course</t>
  </si>
  <si>
    <t>IASB 2023 Amendment
(Jan 2025)</t>
  </si>
  <si>
    <t>Crypto assets
(in scope)</t>
  </si>
  <si>
    <t>Mandatory FVTPL
for qualifying holdings</t>
  </si>
  <si>
    <t>~$950,000
(fair value — required)</t>
  </si>
  <si>
    <t>Landmark shift — ends
cost model ambiguity for crypto banks</t>
  </si>
  <si>
    <t>P&amp;L IMPACT MODEL — 10 BTC Holding at Selected Dates</t>
  </si>
  <si>
    <t>Fair Value (10 BTC)</t>
  </si>
  <si>
    <t>IAS 38 Carrying Amt</t>
  </si>
  <si>
    <t>IFRS 9 Cumul. P&amp;L</t>
  </si>
  <si>
    <t>IAS 38 Cumul. Impairment</t>
  </si>
  <si>
    <t>Mar 31, 2022</t>
  </si>
  <si>
    <t>Jun 30, 2022</t>
  </si>
  <si>
    <t>Mar 31, 2023</t>
  </si>
  <si>
    <t>Dec 31, 2023</t>
  </si>
  <si>
    <t>Mar 14, 2024</t>
  </si>
  <si>
    <t>Dec 31, 2024</t>
  </si>
  <si>
    <t>KEY TAKEAWAY — IASB 2023 Amendment</t>
  </si>
  <si>
    <t>The IASB's targeted amendments (effective January 1, 2025) require entities holding crypto assets to measure them at fair value through P&amp;L, eliminating the 'hidden gains' problem created by IAS 38's cost model. For a crypto-native bank like Xapo, this means the balance sheet will now reflect the true economic value of BTC holdings, but at the cost of increased P&amp;L volatility. Finance teams must build processes to handle daily fair value remeasurement, deferred tax provisioning, and clear disclosure of unrealised gains/losses.</t>
  </si>
  <si>
    <t>REGULATORY LANDSCAPE — Digital Assets &amp; Crypto Banking  |  2024–2025</t>
  </si>
  <si>
    <t>MiCA  |  OSFI  |  Basel III  |  IASB  |  SEC/CFTC  |  FCA</t>
  </si>
  <si>
    <t>GLOBAL REGULATORY FRAMEWORK OVERVIEW</t>
  </si>
  <si>
    <t>Framework</t>
  </si>
  <si>
    <t>Jurisdiction</t>
  </si>
  <si>
    <t>Status</t>
  </si>
  <si>
    <t>Key Requirement</t>
  </si>
  <si>
    <t>Relevance to Crypto Banks</t>
  </si>
  <si>
    <t>MiCA
(Markets in Crypto-Assets)</t>
  </si>
  <si>
    <t>European Union</t>
  </si>
  <si>
    <t>In force — Jun 2024</t>
  </si>
  <si>
    <t>Licensing, reserve requirements,
disclosure for CASPs</t>
  </si>
  <si>
    <t>Xapo (EU-licensed) must comply;
reserve and capital requirements</t>
  </si>
  <si>
    <t>IASB Amendment
(IAS 38 / IFRS 9)</t>
  </si>
  <si>
    <t>International</t>
  </si>
  <si>
    <t>Effective Jan 1, 2025</t>
  </si>
  <si>
    <t>Fair value measurement mandatory
for qualifying crypto holdings</t>
  </si>
  <si>
    <t>Direct impact on BTC balance sheet;
fair value P&amp;L treatment required</t>
  </si>
  <si>
    <t>Basel III
Crypto Framework</t>
  </si>
  <si>
    <t>Global (BIS)</t>
  </si>
  <si>
    <t>1250% risk weight for unbacked
crypto (e.g. BTC) — most conservative</t>
  </si>
  <si>
    <t>Capital adequacy planning;
limits crypto exposure for banks</t>
  </si>
  <si>
    <t>OSFI Advisory</t>
  </si>
  <si>
    <t>Canada</t>
  </si>
  <si>
    <t>Active</t>
  </si>
  <si>
    <t>Prudential treatment of crypto
exposures for federally reg. FIs</t>
  </si>
  <si>
    <t>Relevant for Canadian operations
and cross-border planning</t>
  </si>
  <si>
    <t>FCA Crypto Registration</t>
  </si>
  <si>
    <t>United Kingdom</t>
  </si>
  <si>
    <t>AML/KYC registration required;
crypto promotions rules (Oct 2023)</t>
  </si>
  <si>
    <t>Xapo UK licence — compliance
with FCA crypto asset regime</t>
  </si>
  <si>
    <t>SEC / CFTC</t>
  </si>
  <si>
    <t>United States</t>
  </si>
  <si>
    <t>Evolving (post-ETF)</t>
  </si>
  <si>
    <t>Spot BTC ETF approved Jan 2024;
ongoing securities classification</t>
  </si>
  <si>
    <t>Affects institutional flows
and custody standards</t>
  </si>
  <si>
    <t>FATF Travel Rule</t>
  </si>
  <si>
    <t>Global</t>
  </si>
  <si>
    <t>VASPs must share sender/receiver
info for transfers &gt;$1,000</t>
  </si>
  <si>
    <t>Compliance overhead for
cross-border crypto payments</t>
  </si>
  <si>
    <t>REGULATORY TIMELINE — KEY MILESTONES</t>
  </si>
  <si>
    <t>Impact</t>
  </si>
  <si>
    <t>Significance</t>
  </si>
  <si>
    <t>Jun 2021</t>
  </si>
  <si>
    <t>El Salvador adopts BTC as legal tender</t>
  </si>
  <si>
    <t>Sovereign adoption precedent</t>
  </si>
  <si>
    <t>El Salvador</t>
  </si>
  <si>
    <t>Sep 2022</t>
  </si>
  <si>
    <t>Ethereum Merge — PoW → PoS</t>
  </si>
  <si>
    <t>Energy narrative shifts</t>
  </si>
  <si>
    <t>FTX bankruptcy ($8B shortfall)</t>
  </si>
  <si>
    <t>Regulatory urgency accelerated</t>
  </si>
  <si>
    <t>Jun 2023</t>
  </si>
  <si>
    <t>BlackRock files for spot Bitcoin ETF</t>
  </si>
  <si>
    <t>Institutional demand signal</t>
  </si>
  <si>
    <t>Oct 2023</t>
  </si>
  <si>
    <t>FCA crypto promotions rules effective</t>
  </si>
  <si>
    <t>Retail protection tightened</t>
  </si>
  <si>
    <t>SEC approves 11 spot Bitcoin ETFs</t>
  </si>
  <si>
    <t>$10B+ inflows in first month</t>
  </si>
  <si>
    <t>Apr 2024</t>
  </si>
  <si>
    <t>Bitcoin 4th halving — reward → 3.125 BTC/block</t>
  </si>
  <si>
    <t>Supply shock; miner economics change</t>
  </si>
  <si>
    <t>Jun 2024</t>
  </si>
  <si>
    <t>MiCA full implementation</t>
  </si>
  <si>
    <t>Licensing regime live across EU</t>
  </si>
  <si>
    <t>Jan 2025</t>
  </si>
  <si>
    <t>IASB crypto amendment + Basel III crypto rules</t>
  </si>
  <si>
    <t>Fair value accounting mandatory</t>
  </si>
  <si>
    <t xml:space="preserve"> BITCOIN &amp; DIGITAL ASSETS</t>
  </si>
  <si>
    <t>~ Symbol means number is an estimation, not exact</t>
  </si>
  <si>
    <t>Overvalued</t>
  </si>
  <si>
    <t xml:space="preserve"> Sell Zone</t>
  </si>
  <si>
    <t xml:space="preserve"> Buy Zone</t>
  </si>
  <si>
    <t xml:space="preserve"> Deep Value</t>
  </si>
  <si>
    <t xml:space="preserve"> Watch Zone</t>
  </si>
  <si>
    <t>High</t>
  </si>
  <si>
    <t>Medium</t>
  </si>
  <si>
    <t>2020 – 2025  |  Data: Yahoo Finance, CoinGecko, IASB Publications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</si>
</sst>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\$#,##0.00"/>
    <numFmt numFmtId="167" formatCode="\$#,##0"/>
  </numFmts>
  <fonts count="21" x14ac:knownFonts="1">
    <font>
      <sz val="11"/>
      <color theme="1"/>
      <name val="Calibri"/>
      <family val="2"/>
      <charset val="1"/>
    </font>
    <font>
      <b/>
      <sz val="22"/>
      <color rgb="FFF7931A"/>
      <name val="Arial"/>
      <family val="2"/>
    </font>
    <font>
      <i/>
      <sz val="13"/>
      <color rgb="FFFFFFFF"/>
      <name val="Arial"/>
      <family val="2"/>
    </font>
    <font>
      <sz val="11"/>
      <color rgb="FFD6E4F0"/>
      <name val="Arial"/>
      <family val="2"/>
    </font>
    <font>
      <i/>
      <sz val="10"/>
      <color rgb="FFA8C8E8"/>
      <name val="Arial"/>
      <family val="2"/>
    </font>
    <font>
      <b/>
      <sz val="11"/>
      <color rgb="FF1B3A6B"/>
      <name val="Arial"/>
      <family val="2"/>
    </font>
    <font>
      <sz val="10"/>
      <color rgb="FF2D2D2D"/>
      <name val="Arial"/>
      <family val="2"/>
    </font>
    <font>
      <b/>
      <sz val="10"/>
      <color rgb="FFFFFFFF"/>
      <name val="Arial"/>
      <family val="2"/>
    </font>
    <font>
      <b/>
      <sz val="10"/>
      <color rgb="FF1B3A6B"/>
      <name val="Arial"/>
      <family val="2"/>
    </font>
    <font>
      <b/>
      <sz val="10"/>
      <color rgb="FF1A7A4A"/>
      <name val="Arial"/>
      <family val="2"/>
    </font>
    <font>
      <i/>
      <sz val="9"/>
      <color rgb="FF666666"/>
      <name val="Arial"/>
      <family val="2"/>
    </font>
    <font>
      <b/>
      <sz val="10"/>
      <color rgb="FF2D2D2D"/>
      <name val="Arial"/>
      <family val="2"/>
    </font>
    <font>
      <b/>
      <sz val="10"/>
      <color rgb="FFC0392B"/>
      <name val="Arial"/>
      <family val="2"/>
    </font>
    <font>
      <b/>
      <sz val="14"/>
      <color rgb="FFFFFFFF"/>
      <name val="Arial"/>
      <family val="2"/>
    </font>
    <font>
      <i/>
      <sz val="10"/>
      <color rgb="FFD6E4F0"/>
      <name val="Arial"/>
      <family val="2"/>
    </font>
    <font>
      <b/>
      <sz val="10"/>
      <color rgb="FF0000FF"/>
      <name val="Arial"/>
      <family val="2"/>
    </font>
    <font>
      <b/>
      <sz val="10"/>
      <color rgb="FFF7931A"/>
      <name val="Arial"/>
      <family val="2"/>
    </font>
    <font>
      <sz val="9"/>
      <color rgb="FF2D2D2D"/>
      <name val="Arial"/>
      <family val="2"/>
    </font>
    <font>
      <b/>
      <sz val="9"/>
      <color rgb="FF2D2D2D"/>
      <name val="Arial"/>
      <family val="2"/>
    </font>
    <font>
      <b/>
      <sz val="9"/>
      <color rgb="FFF7931A"/>
      <name val="Arial"/>
      <family val="2"/>
    </font>
    <font>
      <b/>
      <sz val="9"/>
      <color rgb="FFC0392B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5F5F5"/>
        <bgColor rgb="FFF9F9F9"/>
      </patternFill>
    </fill>
    <fill>
      <patternFill patternType="solid">
        <fgColor rgb="FF2E5F9E"/>
        <bgColor rgb="FF3366FF"/>
      </patternFill>
    </fill>
    <fill>
      <patternFill patternType="solid">
        <fgColor rgb="FFEBF3FB"/>
        <bgColor rgb="FFF5F5F5"/>
      </patternFill>
    </fill>
    <fill>
      <patternFill patternType="solid">
        <fgColor rgb="FFFFFFFF"/>
        <bgColor rgb="FFF9F9F9"/>
      </patternFill>
    </fill>
    <fill>
      <patternFill patternType="solid">
        <fgColor rgb="FFD4EDDA"/>
        <bgColor rgb="FFD6E4F0"/>
      </patternFill>
    </fill>
    <fill>
      <patternFill patternType="solid">
        <fgColor rgb="FFFFF3CD"/>
        <bgColor rgb="FFF5F5F5"/>
      </patternFill>
    </fill>
    <fill>
      <patternFill patternType="solid">
        <fgColor rgb="FFFADBD8"/>
        <bgColor rgb="FFD9D9D9"/>
      </patternFill>
    </fill>
    <fill>
      <patternFill patternType="solid">
        <fgColor rgb="FFD6E4F0"/>
        <bgColor rgb="FFD4EDDA"/>
      </patternFill>
    </fill>
    <fill>
      <patternFill patternType="solid">
        <fgColor rgb="FFEF9A9A"/>
        <bgColor rgb="FFFF8080"/>
      </patternFill>
    </fill>
    <fill>
      <patternFill patternType="solid">
        <fgColor rgb="FFE8F5E9"/>
        <bgColor rgb="FFEBF3FB"/>
      </patternFill>
    </fill>
    <fill>
      <patternFill patternType="solid">
        <fgColor rgb="FFA5D6A7"/>
        <bgColor rgb="FFA8C8E8"/>
      </patternFill>
    </fill>
    <fill>
      <patternFill patternType="solid">
        <fgColor rgb="FFC62828"/>
        <bgColor rgb="FFC0392B"/>
      </patternFill>
    </fill>
    <fill>
      <patternFill patternType="solid">
        <fgColor rgb="FF1B5E20"/>
        <bgColor rgb="FF1A7A4A"/>
      </patternFill>
    </fill>
    <fill>
      <patternFill patternType="solid">
        <fgColor theme="4"/>
        <bgColor rgb="FFF9F9F9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B3A6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0" fillId="5" borderId="2" xfId="0" applyFont="1" applyFill="1" applyBorder="1" applyAlignment="1">
      <alignment horizontal="left" vertical="center"/>
    </xf>
    <xf numFmtId="0" fontId="8" fillId="0" borderId="1" xfId="0" applyFont="1" applyBorder="1"/>
    <xf numFmtId="0" fontId="1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top" wrapText="1"/>
    </xf>
    <xf numFmtId="0" fontId="5" fillId="0" borderId="1" xfId="0" applyFont="1" applyBorder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7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0" fontId="16" fillId="5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164" fontId="12" fillId="9" borderId="2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165" fontId="11" fillId="11" borderId="2" xfId="0" applyNumberFormat="1" applyFont="1" applyFill="1" applyBorder="1" applyAlignment="1">
      <alignment horizontal="center" vertical="center"/>
    </xf>
    <xf numFmtId="165" fontId="6" fillId="12" borderId="2" xfId="0" applyNumberFormat="1" applyFont="1" applyFill="1" applyBorder="1" applyAlignment="1">
      <alignment horizontal="center" vertical="center"/>
    </xf>
    <xf numFmtId="165" fontId="6" fillId="13" borderId="2" xfId="0" applyNumberFormat="1" applyFont="1" applyFill="1" applyBorder="1" applyAlignment="1">
      <alignment horizontal="center" vertical="center"/>
    </xf>
    <xf numFmtId="165" fontId="7" fillId="14" borderId="2" xfId="0" applyNumberFormat="1" applyFont="1" applyFill="1" applyBorder="1" applyAlignment="1">
      <alignment horizontal="center" vertical="center"/>
    </xf>
    <xf numFmtId="165" fontId="7" fillId="1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0" fillId="14" borderId="2" xfId="0" applyFill="1" applyBorder="1"/>
    <xf numFmtId="0" fontId="11" fillId="6" borderId="2" xfId="0" applyFont="1" applyFill="1" applyBorder="1" applyAlignment="1">
      <alignment horizontal="center" vertical="center"/>
    </xf>
    <xf numFmtId="0" fontId="0" fillId="11" borderId="2" xfId="0" applyFill="1" applyBorder="1"/>
    <xf numFmtId="0" fontId="0" fillId="8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15" borderId="2" xfId="0" applyFill="1" applyBorder="1"/>
    <xf numFmtId="0" fontId="17" fillId="5" borderId="2" xfId="0" applyFont="1" applyFill="1" applyBorder="1" applyAlignment="1">
      <alignment horizontal="left" vertical="center"/>
    </xf>
    <xf numFmtId="0" fontId="17" fillId="6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18" fillId="6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17" fillId="10" borderId="2" xfId="0" applyFont="1" applyFill="1" applyBorder="1" applyAlignment="1">
      <alignment horizontal="left" vertical="center" wrapText="1"/>
    </xf>
    <xf numFmtId="0" fontId="19" fillId="10" borderId="2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horizontal="left" vertical="center" wrapText="1"/>
    </xf>
    <xf numFmtId="166" fontId="16" fillId="5" borderId="2" xfId="0" applyNumberFormat="1" applyFont="1" applyFill="1" applyBorder="1" applyAlignment="1">
      <alignment horizontal="center" vertical="center"/>
    </xf>
    <xf numFmtId="167" fontId="6" fillId="5" borderId="2" xfId="0" applyNumberFormat="1" applyFont="1" applyFill="1" applyBorder="1" applyAlignment="1">
      <alignment horizontal="center" vertical="center"/>
    </xf>
    <xf numFmtId="167" fontId="9" fillId="7" borderId="2" xfId="0" applyNumberFormat="1" applyFont="1" applyFill="1" applyBorder="1" applyAlignment="1">
      <alignment horizontal="center" vertical="center"/>
    </xf>
    <xf numFmtId="166" fontId="16" fillId="6" borderId="2" xfId="0" applyNumberFormat="1" applyFont="1" applyFill="1" applyBorder="1" applyAlignment="1">
      <alignment horizontal="center" vertical="center"/>
    </xf>
    <xf numFmtId="167" fontId="6" fillId="6" borderId="2" xfId="0" applyNumberFormat="1" applyFont="1" applyFill="1" applyBorder="1" applyAlignment="1">
      <alignment horizontal="center" vertical="center"/>
    </xf>
    <xf numFmtId="167" fontId="12" fillId="9" borderId="2" xfId="0" applyNumberFormat="1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20" fillId="9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0" fontId="18" fillId="8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0" fontId="10" fillId="5" borderId="3" xfId="0" applyFont="1" applyFill="1" applyBorder="1"/>
    <xf numFmtId="0" fontId="10" fillId="6" borderId="3" xfId="0" applyFont="1" applyFill="1" applyBorder="1"/>
    <xf numFmtId="0" fontId="6" fillId="5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left" wrapText="1"/>
    </xf>
    <xf numFmtId="0" fontId="6" fillId="10" borderId="4" xfId="0" applyFont="1" applyFill="1" applyBorder="1" applyAlignment="1">
      <alignment horizontal="left" vertical="top" wrapText="1"/>
    </xf>
    <xf numFmtId="0" fontId="10" fillId="3" borderId="0" xfId="0" applyFont="1" applyFill="1" applyAlignment="1">
      <alignment vertical="center"/>
    </xf>
    <xf numFmtId="165" fontId="7" fillId="1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1B5E20"/>
      <rgbColor rgb="FF000080"/>
      <rgbColor rgb="FF808000"/>
      <rgbColor rgb="FF800080"/>
      <rgbColor rgb="FF1A7A4A"/>
      <rgbColor rgb="FFBBBBBB"/>
      <rgbColor rgb="FF878787"/>
      <rgbColor rgb="FF9999FF"/>
      <rgbColor rgb="FFC62828"/>
      <rgbColor rgb="FFFFF3CD"/>
      <rgbColor rgb="FFE8F5E9"/>
      <rgbColor rgb="FF660066"/>
      <rgbColor rgb="FFFF8080"/>
      <rgbColor rgb="FF2E5F9E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4EDDA"/>
      <rgbColor rgb="FFF5F5F5"/>
      <rgbColor rgb="FFA8C8E8"/>
      <rgbColor rgb="FFEF9A9A"/>
      <rgbColor rgb="FFD6E4F0"/>
      <rgbColor rgb="FFFADBD8"/>
      <rgbColor rgb="FF3366FF"/>
      <rgbColor rgb="FF33CCCC"/>
      <rgbColor rgb="FF99CC00"/>
      <rgbColor rgb="FFFFD700"/>
      <rgbColor rgb="FFF7931A"/>
      <rgbColor rgb="FFFF6600"/>
      <rgbColor rgb="FF666666"/>
      <rgbColor rgb="FFA5D6A7"/>
      <rgbColor rgb="FF1B3A6B"/>
      <rgbColor rgb="FF339966"/>
      <rgbColor rgb="FF003300"/>
      <rgbColor rgb="FF333300"/>
      <rgbColor rgb="FFC0392B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Annual Returns: BTC vs S&amp;P 500 vs Gold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&amp; Return'!$C$28</c:f>
              <c:strCache>
                <c:ptCount val="1"/>
                <c:pt idx="0">
                  <c:v>Bitcoin</c:v>
                </c:pt>
              </c:strCache>
            </c:strRef>
          </c:tx>
          <c:spPr>
            <a:solidFill>
              <a:srgbClr val="F7931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&amp; Return'!$B$29:$B$33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'Risk &amp; Return'!$C$29:$C$33</c:f>
              <c:numCache>
                <c:formatCode>0.0%</c:formatCode>
                <c:ptCount val="5"/>
                <c:pt idx="0">
                  <c:v>0.30199999999999999</c:v>
                </c:pt>
                <c:pt idx="1">
                  <c:v>0.59899999999999998</c:v>
                </c:pt>
                <c:pt idx="2">
                  <c:v>-0.64900000000000002</c:v>
                </c:pt>
                <c:pt idx="3">
                  <c:v>1.554</c:v>
                </c:pt>
                <c:pt idx="4">
                  <c:v>0.121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C-0E41-94FA-6C011B9B2DA2}"/>
            </c:ext>
          </c:extLst>
        </c:ser>
        <c:ser>
          <c:idx val="1"/>
          <c:order val="1"/>
          <c:tx>
            <c:strRef>
              <c:f>'Risk &amp; Return'!$D$28</c:f>
              <c:strCache>
                <c:ptCount val="1"/>
                <c:pt idx="0">
                  <c:v>S&amp;P 500</c:v>
                </c:pt>
              </c:strCache>
            </c:strRef>
          </c:tx>
          <c:spPr>
            <a:solidFill>
              <a:srgbClr val="2E5F9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&amp; Return'!$B$29:$B$33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'Risk &amp; Return'!$D$29:$D$33</c:f>
              <c:numCache>
                <c:formatCode>0.0%</c:formatCode>
                <c:ptCount val="5"/>
                <c:pt idx="0">
                  <c:v>0.184</c:v>
                </c:pt>
                <c:pt idx="1">
                  <c:v>0.28699999999999998</c:v>
                </c:pt>
                <c:pt idx="2">
                  <c:v>-0.19500000000000001</c:v>
                </c:pt>
                <c:pt idx="3">
                  <c:v>0.26400000000000001</c:v>
                </c:pt>
                <c:pt idx="4">
                  <c:v>0.23200000000000001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3C-0E41-94FA-6C011B9B2DA2}"/>
            </c:ext>
          </c:extLst>
        </c:ser>
        <c:ser>
          <c:idx val="2"/>
          <c:order val="2"/>
          <c:tx>
            <c:strRef>
              <c:f>'Risk &amp; Return'!$E$28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rgbClr val="FFD7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&amp; Return'!$B$29:$B$33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'Risk &amp; Return'!$E$29:$E$33</c:f>
              <c:numCache>
                <c:formatCode>0.0%</c:formatCode>
                <c:ptCount val="5"/>
                <c:pt idx="0">
                  <c:v>0.248</c:v>
                </c:pt>
                <c:pt idx="1">
                  <c:v>-3.6999999999999998E-2</c:v>
                </c:pt>
                <c:pt idx="2">
                  <c:v>-2E-3</c:v>
                </c:pt>
                <c:pt idx="3">
                  <c:v>0.13300000000000001</c:v>
                </c:pt>
                <c:pt idx="4">
                  <c:v>0.27800000000000002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3C-0E41-94FA-6C011B9B2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0275"/>
        <c:axId val="52588050"/>
      </c:barChart>
      <c:catAx>
        <c:axId val="23102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588050"/>
        <c:crosses val="autoZero"/>
        <c:auto val="1"/>
        <c:lblAlgn val="ctr"/>
        <c:lblOffset val="100"/>
        <c:noMultiLvlLbl val="0"/>
      </c:catAx>
      <c:valAx>
        <c:axId val="525880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102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160560</xdr:rowOff>
    </xdr:from>
    <xdr:to>
      <xdr:col>5</xdr:col>
      <xdr:colOff>558720</xdr:colOff>
      <xdr:row>50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showGridLines="0" tabSelected="1" topLeftCell="A7" zoomScaleNormal="100" workbookViewId="0">
      <selection activeCell="B6" sqref="B6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4" width="22" customWidth="1"/>
    <col min="5" max="5" width="30.33203125" customWidth="1"/>
    <col min="6" max="6" width="22" customWidth="1"/>
    <col min="7" max="7" width="12.33203125" customWidth="1"/>
  </cols>
  <sheetData>
    <row r="1" spans="1:7" ht="18" customHeight="1" x14ac:dyDescent="0.2">
      <c r="A1" s="14"/>
      <c r="B1" s="14"/>
      <c r="C1" s="14"/>
      <c r="D1" s="14"/>
      <c r="E1" s="14"/>
      <c r="F1" s="14"/>
      <c r="G1" s="14"/>
    </row>
    <row r="2" spans="1:7" ht="18" customHeight="1" x14ac:dyDescent="0.2">
      <c r="A2" s="14"/>
      <c r="B2" s="13" t="s">
        <v>424</v>
      </c>
      <c r="C2" s="13"/>
      <c r="D2" s="13"/>
      <c r="E2" s="13"/>
      <c r="F2" s="13"/>
      <c r="G2" s="14"/>
    </row>
    <row r="3" spans="1:7" ht="18" customHeight="1" x14ac:dyDescent="0.2">
      <c r="A3" s="14"/>
      <c r="B3" s="12" t="s">
        <v>0</v>
      </c>
      <c r="C3" s="12"/>
      <c r="D3" s="12"/>
      <c r="E3" s="12"/>
      <c r="F3" s="12"/>
      <c r="G3" s="14"/>
    </row>
    <row r="4" spans="1:7" ht="18" customHeight="1" x14ac:dyDescent="0.2">
      <c r="A4" s="14"/>
      <c r="B4" s="11" t="s">
        <v>1</v>
      </c>
      <c r="C4" s="11"/>
      <c r="D4" s="11"/>
      <c r="E4" s="11"/>
      <c r="F4" s="11"/>
      <c r="G4" s="14"/>
    </row>
    <row r="5" spans="1:7" ht="18" customHeight="1" x14ac:dyDescent="0.2">
      <c r="A5" s="14"/>
      <c r="B5" s="10" t="s">
        <v>433</v>
      </c>
      <c r="C5" s="10"/>
      <c r="D5" s="10"/>
      <c r="E5" s="10"/>
      <c r="F5" s="10"/>
      <c r="G5" s="14"/>
    </row>
    <row r="6" spans="1:7" ht="18" customHeight="1" x14ac:dyDescent="0.2">
      <c r="A6" s="14"/>
      <c r="B6" s="14"/>
      <c r="C6" s="14"/>
      <c r="D6" s="14"/>
      <c r="E6" s="14"/>
      <c r="F6" s="14"/>
      <c r="G6" s="14"/>
    </row>
    <row r="7" spans="1:7" ht="18" customHeight="1" x14ac:dyDescent="0.2"/>
    <row r="8" spans="1:7" ht="18" customHeight="1" x14ac:dyDescent="0.2">
      <c r="B8" s="9" t="s">
        <v>2</v>
      </c>
      <c r="C8" s="9"/>
      <c r="D8" s="9"/>
      <c r="E8" s="9"/>
      <c r="F8" s="9"/>
    </row>
    <row r="9" spans="1:7" ht="18" customHeight="1" x14ac:dyDescent="0.2">
      <c r="B9" s="8" t="s">
        <v>3</v>
      </c>
      <c r="C9" s="8"/>
      <c r="D9" s="8"/>
      <c r="E9" s="8"/>
      <c r="F9" s="8"/>
    </row>
    <row r="10" spans="1:7" ht="18" customHeight="1" x14ac:dyDescent="0.2">
      <c r="B10" s="8"/>
      <c r="C10" s="8"/>
      <c r="D10" s="8"/>
      <c r="E10" s="8"/>
      <c r="F10" s="8"/>
    </row>
    <row r="11" spans="1:7" ht="18" customHeight="1" x14ac:dyDescent="0.2">
      <c r="B11" s="8"/>
      <c r="C11" s="8"/>
      <c r="D11" s="8"/>
      <c r="E11" s="8"/>
      <c r="F11" s="8"/>
    </row>
    <row r="12" spans="1:7" ht="18" customHeight="1" x14ac:dyDescent="0.2">
      <c r="C12" t="s">
        <v>425</v>
      </c>
    </row>
    <row r="13" spans="1:7" ht="18" customHeight="1" x14ac:dyDescent="0.2">
      <c r="B13" s="9" t="s">
        <v>4</v>
      </c>
      <c r="C13" s="9"/>
      <c r="D13" s="9"/>
      <c r="E13" s="9"/>
      <c r="F13" s="9"/>
    </row>
    <row r="14" spans="1:7" ht="18" customHeight="1" x14ac:dyDescent="0.2">
      <c r="B14" s="15" t="s">
        <v>5</v>
      </c>
      <c r="C14" s="7" t="s">
        <v>6</v>
      </c>
      <c r="D14" s="7"/>
      <c r="E14" s="7"/>
      <c r="F14" s="7"/>
    </row>
    <row r="15" spans="1:7" ht="18" customHeight="1" x14ac:dyDescent="0.2">
      <c r="B15" s="16" t="s">
        <v>7</v>
      </c>
      <c r="C15" s="6" t="s">
        <v>8</v>
      </c>
      <c r="D15" s="6"/>
      <c r="E15" s="6"/>
      <c r="F15" s="6"/>
    </row>
    <row r="16" spans="1:7" ht="18" customHeight="1" x14ac:dyDescent="0.2">
      <c r="B16" s="18" t="s">
        <v>9</v>
      </c>
      <c r="C16" s="5" t="s">
        <v>10</v>
      </c>
      <c r="D16" s="5"/>
      <c r="E16" s="5"/>
      <c r="F16" s="5"/>
    </row>
    <row r="17" spans="2:6" ht="18" customHeight="1" x14ac:dyDescent="0.2">
      <c r="B17" s="16" t="s">
        <v>11</v>
      </c>
      <c r="C17" s="6" t="s">
        <v>12</v>
      </c>
      <c r="D17" s="6"/>
      <c r="E17" s="6"/>
      <c r="F17" s="6"/>
    </row>
    <row r="18" spans="2:6" ht="18" customHeight="1" x14ac:dyDescent="0.2">
      <c r="B18" s="18" t="s">
        <v>13</v>
      </c>
      <c r="C18" s="5" t="s">
        <v>14</v>
      </c>
      <c r="D18" s="5"/>
      <c r="E18" s="5"/>
      <c r="F18" s="5"/>
    </row>
    <row r="19" spans="2:6" ht="18" customHeight="1" x14ac:dyDescent="0.2">
      <c r="B19" s="16" t="s">
        <v>15</v>
      </c>
      <c r="C19" s="6" t="s">
        <v>16</v>
      </c>
      <c r="D19" s="6"/>
      <c r="E19" s="6"/>
      <c r="F19" s="6"/>
    </row>
    <row r="20" spans="2:6" ht="18" customHeight="1" x14ac:dyDescent="0.2">
      <c r="B20" s="18" t="s">
        <v>17</v>
      </c>
      <c r="C20" s="5" t="s">
        <v>18</v>
      </c>
      <c r="D20" s="5"/>
      <c r="E20" s="5"/>
      <c r="F20" s="5"/>
    </row>
    <row r="21" spans="2:6" ht="18" customHeight="1" x14ac:dyDescent="0.2"/>
    <row r="22" spans="2:6" ht="18" customHeight="1" x14ac:dyDescent="0.2"/>
    <row r="23" spans="2:6" ht="18" customHeight="1" x14ac:dyDescent="0.2">
      <c r="B23" s="9" t="s">
        <v>19</v>
      </c>
      <c r="C23" s="9"/>
      <c r="D23" s="9"/>
      <c r="E23" s="9"/>
      <c r="F23" s="9"/>
    </row>
    <row r="24" spans="2:6" ht="18" customHeight="1" x14ac:dyDescent="0.2">
      <c r="B24" s="15" t="s">
        <v>20</v>
      </c>
      <c r="C24" s="15" t="s">
        <v>21</v>
      </c>
      <c r="D24" s="15" t="s">
        <v>22</v>
      </c>
      <c r="E24" s="15" t="s">
        <v>23</v>
      </c>
      <c r="F24" s="15" t="s">
        <v>24</v>
      </c>
    </row>
    <row r="25" spans="2:6" ht="18" customHeight="1" x14ac:dyDescent="0.2">
      <c r="B25" s="17" t="s">
        <v>25</v>
      </c>
      <c r="C25" s="20" t="s">
        <v>26</v>
      </c>
      <c r="D25" s="21" t="s">
        <v>27</v>
      </c>
      <c r="E25" s="22" t="s">
        <v>28</v>
      </c>
      <c r="F25" s="23" t="s">
        <v>29</v>
      </c>
    </row>
    <row r="26" spans="2:6" ht="18" customHeight="1" x14ac:dyDescent="0.2">
      <c r="B26" s="19" t="s">
        <v>30</v>
      </c>
      <c r="C26" s="24" t="s">
        <v>31</v>
      </c>
      <c r="D26" s="25" t="s">
        <v>32</v>
      </c>
      <c r="E26" s="26" t="s">
        <v>33</v>
      </c>
      <c r="F26" s="27" t="s">
        <v>29</v>
      </c>
    </row>
    <row r="27" spans="2:6" ht="18" customHeight="1" x14ac:dyDescent="0.2">
      <c r="B27" s="17" t="s">
        <v>34</v>
      </c>
      <c r="C27" s="20" t="s">
        <v>35</v>
      </c>
      <c r="D27" s="21" t="s">
        <v>36</v>
      </c>
      <c r="E27" s="22" t="s">
        <v>37</v>
      </c>
      <c r="F27" s="23" t="s">
        <v>38</v>
      </c>
    </row>
    <row r="28" spans="2:6" ht="18" customHeight="1" x14ac:dyDescent="0.2">
      <c r="B28" s="19" t="s">
        <v>39</v>
      </c>
      <c r="C28" s="24" t="s">
        <v>40</v>
      </c>
      <c r="D28" s="25" t="s">
        <v>41</v>
      </c>
      <c r="E28" s="22" t="s">
        <v>42</v>
      </c>
      <c r="F28" s="27" t="s">
        <v>38</v>
      </c>
    </row>
    <row r="29" spans="2:6" ht="18" customHeight="1" x14ac:dyDescent="0.2">
      <c r="B29" s="17" t="s">
        <v>43</v>
      </c>
      <c r="C29" s="20" t="s">
        <v>44</v>
      </c>
      <c r="D29" s="21" t="s">
        <v>45</v>
      </c>
      <c r="E29" s="28" t="s">
        <v>46</v>
      </c>
      <c r="F29" s="23" t="s">
        <v>47</v>
      </c>
    </row>
    <row r="30" spans="2:6" ht="18" customHeight="1" x14ac:dyDescent="0.2">
      <c r="B30" s="19" t="s">
        <v>48</v>
      </c>
      <c r="C30" s="24" t="s">
        <v>49</v>
      </c>
      <c r="D30" s="25" t="s">
        <v>50</v>
      </c>
      <c r="E30" s="26" t="s">
        <v>51</v>
      </c>
      <c r="F30" s="27" t="s">
        <v>52</v>
      </c>
    </row>
    <row r="31" spans="2:6" ht="18" customHeight="1" x14ac:dyDescent="0.2">
      <c r="B31" s="17" t="s">
        <v>53</v>
      </c>
      <c r="C31" s="20" t="s">
        <v>54</v>
      </c>
      <c r="D31" s="21" t="s">
        <v>55</v>
      </c>
      <c r="E31" s="26" t="s">
        <v>56</v>
      </c>
      <c r="F31" s="23" t="s">
        <v>52</v>
      </c>
    </row>
    <row r="32" spans="2:6" ht="18" customHeight="1" x14ac:dyDescent="0.2">
      <c r="B32" s="19" t="s">
        <v>57</v>
      </c>
      <c r="C32" s="24" t="s">
        <v>58</v>
      </c>
      <c r="D32" s="25" t="s">
        <v>59</v>
      </c>
      <c r="E32" s="26" t="s">
        <v>60</v>
      </c>
      <c r="F32" s="27" t="s">
        <v>61</v>
      </c>
    </row>
    <row r="33" spans="2:6" ht="18" customHeight="1" x14ac:dyDescent="0.2">
      <c r="B33" s="17" t="s">
        <v>62</v>
      </c>
      <c r="C33" s="20" t="s">
        <v>63</v>
      </c>
      <c r="D33" s="21" t="s">
        <v>64</v>
      </c>
      <c r="E33" s="29" t="s">
        <v>65</v>
      </c>
      <c r="F33" s="23" t="s">
        <v>66</v>
      </c>
    </row>
    <row r="34" spans="2:6" ht="18" customHeight="1" x14ac:dyDescent="0.2"/>
    <row r="35" spans="2:6" ht="18" customHeight="1" x14ac:dyDescent="0.2"/>
    <row r="36" spans="2:6" ht="18" customHeight="1" x14ac:dyDescent="0.2"/>
    <row r="37" spans="2:6" ht="18" customHeight="1" x14ac:dyDescent="0.2">
      <c r="B37" s="90"/>
      <c r="C37" s="90"/>
      <c r="D37" s="90"/>
      <c r="E37" s="90"/>
      <c r="F37" s="90"/>
    </row>
    <row r="38" spans="2:6" ht="18" customHeight="1" x14ac:dyDescent="0.2"/>
    <row r="39" spans="2:6" ht="18" customHeight="1" x14ac:dyDescent="0.2"/>
    <row r="40" spans="2:6" ht="18" customHeight="1" x14ac:dyDescent="0.2"/>
    <row r="41" spans="2:6" ht="18" customHeight="1" x14ac:dyDescent="0.2"/>
    <row r="42" spans="2:6" ht="18" customHeight="1" x14ac:dyDescent="0.2"/>
    <row r="43" spans="2:6" ht="18" customHeight="1" x14ac:dyDescent="0.2"/>
    <row r="44" spans="2:6" ht="18" customHeight="1" x14ac:dyDescent="0.2"/>
    <row r="45" spans="2:6" ht="18" customHeight="1" x14ac:dyDescent="0.2"/>
    <row r="46" spans="2:6" ht="18" customHeight="1" x14ac:dyDescent="0.2"/>
    <row r="47" spans="2:6" ht="18" customHeight="1" x14ac:dyDescent="0.2"/>
    <row r="48" spans="2:6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</sheetData>
  <mergeCells count="15">
    <mergeCell ref="C17:F17"/>
    <mergeCell ref="C18:F18"/>
    <mergeCell ref="C19:F19"/>
    <mergeCell ref="C20:F20"/>
    <mergeCell ref="B23:F23"/>
    <mergeCell ref="B9:F11"/>
    <mergeCell ref="B13:F13"/>
    <mergeCell ref="C14:F14"/>
    <mergeCell ref="C15:F15"/>
    <mergeCell ref="C16:F16"/>
    <mergeCell ref="B2:F2"/>
    <mergeCell ref="B3:F3"/>
    <mergeCell ref="B4:F4"/>
    <mergeCell ref="B5:F5"/>
    <mergeCell ref="B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showGridLines="0" topLeftCell="A4" zoomScaleNormal="100" workbookViewId="0">
      <selection activeCell="G41" sqref="G41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5" width="18" customWidth="1"/>
    <col min="6" max="6" width="31.33203125" bestFit="1" customWidth="1"/>
    <col min="7" max="7" width="40" customWidth="1"/>
    <col min="8" max="8" width="3" customWidth="1"/>
  </cols>
  <sheetData>
    <row r="1" spans="1:8" x14ac:dyDescent="0.2">
      <c r="A1" s="14"/>
      <c r="B1" s="14"/>
      <c r="C1" s="14"/>
      <c r="D1" s="14"/>
      <c r="E1" s="14"/>
      <c r="F1" s="14"/>
      <c r="G1" s="14"/>
      <c r="H1" s="14"/>
    </row>
    <row r="2" spans="1:8" ht="18" x14ac:dyDescent="0.2">
      <c r="A2" s="14"/>
      <c r="B2" s="4" t="s">
        <v>67</v>
      </c>
      <c r="C2" s="4"/>
      <c r="D2" s="4"/>
      <c r="E2" s="4"/>
      <c r="F2" s="4"/>
      <c r="G2" s="4"/>
      <c r="H2" s="14"/>
    </row>
    <row r="3" spans="1:8" x14ac:dyDescent="0.2">
      <c r="A3" s="14"/>
      <c r="B3" s="3" t="s">
        <v>68</v>
      </c>
      <c r="C3" s="3"/>
      <c r="D3" s="3"/>
      <c r="E3" s="3"/>
      <c r="F3" s="3"/>
      <c r="G3" s="3"/>
      <c r="H3" s="14"/>
    </row>
    <row r="4" spans="1:8" x14ac:dyDescent="0.2">
      <c r="A4" s="14"/>
      <c r="B4" s="14"/>
      <c r="C4" s="14"/>
      <c r="D4" s="14"/>
      <c r="E4" s="14"/>
      <c r="F4" s="14"/>
      <c r="G4" s="14"/>
      <c r="H4" s="14"/>
    </row>
    <row r="6" spans="1:8" x14ac:dyDescent="0.2">
      <c r="B6" s="2" t="s">
        <v>69</v>
      </c>
      <c r="C6" s="2"/>
      <c r="D6" s="2"/>
      <c r="E6" s="2"/>
      <c r="F6" s="2"/>
      <c r="G6" s="2"/>
    </row>
    <row r="7" spans="1:8" x14ac:dyDescent="0.2">
      <c r="B7" s="15" t="s">
        <v>70</v>
      </c>
      <c r="C7" s="15" t="s">
        <v>21</v>
      </c>
      <c r="D7" s="15" t="s">
        <v>71</v>
      </c>
      <c r="E7" s="15"/>
      <c r="F7" s="15"/>
      <c r="G7" s="15"/>
    </row>
    <row r="8" spans="1:8" x14ac:dyDescent="0.2">
      <c r="B8" s="17" t="s">
        <v>72</v>
      </c>
      <c r="C8" s="30">
        <v>5.2499999999999998E-2</v>
      </c>
      <c r="D8" s="1" t="s">
        <v>73</v>
      </c>
      <c r="E8" s="1"/>
      <c r="F8" s="1"/>
      <c r="G8" s="1"/>
    </row>
    <row r="9" spans="1:8" x14ac:dyDescent="0.2">
      <c r="B9" s="19" t="s">
        <v>74</v>
      </c>
      <c r="C9" s="32">
        <v>365</v>
      </c>
      <c r="D9" s="84" t="s">
        <v>75</v>
      </c>
      <c r="E9" s="84"/>
      <c r="F9" s="84"/>
      <c r="G9" s="84"/>
    </row>
    <row r="10" spans="1:8" x14ac:dyDescent="0.2">
      <c r="B10" s="17" t="s">
        <v>76</v>
      </c>
      <c r="C10" s="30" t="s">
        <v>77</v>
      </c>
      <c r="D10" s="1" t="s">
        <v>78</v>
      </c>
      <c r="E10" s="1"/>
      <c r="F10" s="1"/>
      <c r="G10" s="1"/>
    </row>
    <row r="11" spans="1:8" x14ac:dyDescent="0.2">
      <c r="B11" s="19" t="s">
        <v>79</v>
      </c>
      <c r="C11" s="32">
        <v>90</v>
      </c>
      <c r="D11" s="84" t="s">
        <v>80</v>
      </c>
      <c r="E11" s="84"/>
      <c r="F11" s="84"/>
      <c r="G11" s="84"/>
    </row>
    <row r="14" spans="1:8" x14ac:dyDescent="0.2">
      <c r="B14" s="2" t="s">
        <v>81</v>
      </c>
      <c r="C14" s="2"/>
      <c r="D14" s="2"/>
      <c r="E14" s="2"/>
      <c r="F14" s="2"/>
      <c r="G14" s="2"/>
    </row>
    <row r="15" spans="1:8" x14ac:dyDescent="0.2">
      <c r="B15" s="15" t="s">
        <v>20</v>
      </c>
      <c r="C15" s="15" t="s">
        <v>82</v>
      </c>
      <c r="D15" s="15" t="s">
        <v>83</v>
      </c>
      <c r="E15" s="15" t="s">
        <v>84</v>
      </c>
      <c r="F15" s="15" t="s">
        <v>85</v>
      </c>
      <c r="G15" s="15" t="s">
        <v>24</v>
      </c>
    </row>
    <row r="16" spans="1:8" x14ac:dyDescent="0.2">
      <c r="B16" s="34" t="s">
        <v>86</v>
      </c>
      <c r="C16" s="35" t="s">
        <v>87</v>
      </c>
      <c r="D16" s="21" t="s">
        <v>88</v>
      </c>
      <c r="E16" s="21" t="s">
        <v>89</v>
      </c>
      <c r="F16" s="31" t="s">
        <v>90</v>
      </c>
      <c r="G16" s="31" t="s">
        <v>52</v>
      </c>
    </row>
    <row r="17" spans="2:7" x14ac:dyDescent="0.2">
      <c r="B17" s="36" t="s">
        <v>30</v>
      </c>
      <c r="C17" s="37" t="s">
        <v>91</v>
      </c>
      <c r="D17" s="25" t="s">
        <v>92</v>
      </c>
      <c r="E17" s="25" t="s">
        <v>93</v>
      </c>
      <c r="F17" s="33" t="s">
        <v>94</v>
      </c>
      <c r="G17" s="33" t="s">
        <v>38</v>
      </c>
    </row>
    <row r="18" spans="2:7" x14ac:dyDescent="0.2">
      <c r="B18" s="34" t="s">
        <v>34</v>
      </c>
      <c r="C18" s="35" t="s">
        <v>35</v>
      </c>
      <c r="D18" s="21" t="s">
        <v>95</v>
      </c>
      <c r="E18" s="21" t="s">
        <v>96</v>
      </c>
      <c r="F18" s="31" t="s">
        <v>97</v>
      </c>
      <c r="G18" s="31" t="s">
        <v>98</v>
      </c>
    </row>
    <row r="19" spans="2:7" x14ac:dyDescent="0.2">
      <c r="B19" s="36" t="s">
        <v>39</v>
      </c>
      <c r="C19" s="37" t="s">
        <v>40</v>
      </c>
      <c r="D19" s="25" t="s">
        <v>99</v>
      </c>
      <c r="E19" s="25" t="s">
        <v>100</v>
      </c>
      <c r="F19" s="33" t="s">
        <v>101</v>
      </c>
      <c r="G19" s="33" t="s">
        <v>102</v>
      </c>
    </row>
    <row r="20" spans="2:7" x14ac:dyDescent="0.2">
      <c r="B20" s="34" t="s">
        <v>43</v>
      </c>
      <c r="C20" s="35" t="s">
        <v>44</v>
      </c>
      <c r="D20" s="21" t="s">
        <v>103</v>
      </c>
      <c r="E20" s="21" t="s">
        <v>104</v>
      </c>
      <c r="F20" s="31" t="s">
        <v>105</v>
      </c>
      <c r="G20" s="31" t="s">
        <v>38</v>
      </c>
    </row>
    <row r="21" spans="2:7" x14ac:dyDescent="0.2">
      <c r="B21" s="36" t="s">
        <v>106</v>
      </c>
      <c r="C21" s="37" t="s">
        <v>107</v>
      </c>
      <c r="D21" s="25" t="s">
        <v>108</v>
      </c>
      <c r="E21" s="25" t="s">
        <v>109</v>
      </c>
      <c r="F21" s="33" t="s">
        <v>110</v>
      </c>
      <c r="G21" s="33" t="s">
        <v>38</v>
      </c>
    </row>
    <row r="22" spans="2:7" x14ac:dyDescent="0.2">
      <c r="B22" s="34" t="s">
        <v>111</v>
      </c>
      <c r="C22" s="35" t="s">
        <v>112</v>
      </c>
      <c r="D22" s="21" t="s">
        <v>113</v>
      </c>
      <c r="E22" s="21" t="s">
        <v>114</v>
      </c>
      <c r="F22" s="31" t="s">
        <v>115</v>
      </c>
      <c r="G22" s="31" t="s">
        <v>116</v>
      </c>
    </row>
    <row r="23" spans="2:7" x14ac:dyDescent="0.2">
      <c r="B23" s="36" t="s">
        <v>117</v>
      </c>
      <c r="C23" s="37" t="s">
        <v>118</v>
      </c>
      <c r="D23" s="25" t="s">
        <v>119</v>
      </c>
      <c r="E23" s="25" t="s">
        <v>120</v>
      </c>
      <c r="F23" s="33" t="s">
        <v>121</v>
      </c>
      <c r="G23" s="33" t="s">
        <v>52</v>
      </c>
    </row>
    <row r="24" spans="2:7" x14ac:dyDescent="0.2">
      <c r="B24" s="34" t="s">
        <v>122</v>
      </c>
      <c r="C24" s="35" t="s">
        <v>123</v>
      </c>
      <c r="D24" s="21" t="s">
        <v>124</v>
      </c>
      <c r="E24" s="21" t="s">
        <v>125</v>
      </c>
      <c r="F24" s="31" t="s">
        <v>126</v>
      </c>
      <c r="G24" s="31" t="s">
        <v>52</v>
      </c>
    </row>
    <row r="27" spans="2:7" x14ac:dyDescent="0.2">
      <c r="B27" s="2" t="s">
        <v>127</v>
      </c>
      <c r="C27" s="2"/>
      <c r="D27" s="2"/>
      <c r="E27" s="2"/>
      <c r="F27" s="2"/>
      <c r="G27" s="2"/>
    </row>
    <row r="28" spans="2:7" x14ac:dyDescent="0.2">
      <c r="B28" s="15" t="s">
        <v>128</v>
      </c>
      <c r="C28" s="15" t="s">
        <v>82</v>
      </c>
      <c r="D28" s="15" t="s">
        <v>83</v>
      </c>
      <c r="E28" s="15" t="s">
        <v>129</v>
      </c>
      <c r="F28" s="15" t="s">
        <v>130</v>
      </c>
      <c r="G28" s="15" t="s">
        <v>71</v>
      </c>
    </row>
    <row r="29" spans="2:7" x14ac:dyDescent="0.2">
      <c r="B29" s="21" t="s">
        <v>131</v>
      </c>
      <c r="C29" s="38">
        <v>0.30199999999999999</v>
      </c>
      <c r="D29" s="39">
        <v>0.184</v>
      </c>
      <c r="E29" s="39">
        <v>0.248</v>
      </c>
      <c r="F29" s="39">
        <f>D29-E29</f>
        <v>-6.4000000000000001E-2</v>
      </c>
      <c r="G29" s="31" t="s">
        <v>132</v>
      </c>
    </row>
    <row r="30" spans="2:7" x14ac:dyDescent="0.2">
      <c r="B30" s="25" t="s">
        <v>133</v>
      </c>
      <c r="C30" s="38">
        <v>0.59899999999999998</v>
      </c>
      <c r="D30" s="40">
        <v>0.28699999999999998</v>
      </c>
      <c r="E30" s="40">
        <v>-3.6999999999999998E-2</v>
      </c>
      <c r="F30" s="40">
        <f>D30-E30</f>
        <v>0.32399999999999995</v>
      </c>
      <c r="G30" s="33" t="s">
        <v>134</v>
      </c>
    </row>
    <row r="31" spans="2:7" x14ac:dyDescent="0.2">
      <c r="B31" s="21" t="s">
        <v>135</v>
      </c>
      <c r="C31" s="41">
        <v>-0.64900000000000002</v>
      </c>
      <c r="D31" s="39">
        <v>-0.19500000000000001</v>
      </c>
      <c r="E31" s="39">
        <v>-2E-3</v>
      </c>
      <c r="F31" s="39">
        <f>D31-E31</f>
        <v>-0.193</v>
      </c>
      <c r="G31" s="31" t="s">
        <v>136</v>
      </c>
    </row>
    <row r="32" spans="2:7" x14ac:dyDescent="0.2">
      <c r="B32" s="25" t="s">
        <v>137</v>
      </c>
      <c r="C32" s="38">
        <v>1.554</v>
      </c>
      <c r="D32" s="40">
        <v>0.26400000000000001</v>
      </c>
      <c r="E32" s="40">
        <v>0.13300000000000001</v>
      </c>
      <c r="F32" s="40">
        <f>D32-E32</f>
        <v>0.13100000000000001</v>
      </c>
      <c r="G32" s="33" t="s">
        <v>138</v>
      </c>
    </row>
    <row r="33" spans="2:7" x14ac:dyDescent="0.2">
      <c r="B33" s="21" t="s">
        <v>139</v>
      </c>
      <c r="C33" s="38">
        <v>0.121</v>
      </c>
      <c r="D33" s="39">
        <v>0.23200000000000001</v>
      </c>
      <c r="E33" s="39">
        <v>0.27800000000000002</v>
      </c>
      <c r="F33" s="39">
        <f>D33-E33</f>
        <v>-4.6000000000000013E-2</v>
      </c>
      <c r="G33" s="31" t="s">
        <v>140</v>
      </c>
    </row>
    <row r="52" spans="2:7" x14ac:dyDescent="0.2">
      <c r="B52" s="2" t="s">
        <v>141</v>
      </c>
      <c r="C52" s="2"/>
      <c r="D52" s="2"/>
      <c r="E52" s="2"/>
      <c r="F52" s="2"/>
      <c r="G52" s="2"/>
    </row>
    <row r="53" spans="2:7" x14ac:dyDescent="0.2">
      <c r="B53" s="15" t="s">
        <v>142</v>
      </c>
      <c r="C53" s="15" t="s">
        <v>143</v>
      </c>
      <c r="D53" s="15" t="s">
        <v>144</v>
      </c>
      <c r="E53" s="15" t="s">
        <v>145</v>
      </c>
      <c r="F53" s="15"/>
      <c r="G53" s="15"/>
    </row>
    <row r="54" spans="2:7" x14ac:dyDescent="0.2">
      <c r="B54" s="34" t="s">
        <v>146</v>
      </c>
      <c r="C54" s="17" t="s">
        <v>147</v>
      </c>
      <c r="D54" s="42" t="s">
        <v>148</v>
      </c>
      <c r="E54" s="1" t="s">
        <v>149</v>
      </c>
      <c r="F54" s="1"/>
      <c r="G54" s="1"/>
    </row>
    <row r="55" spans="2:7" x14ac:dyDescent="0.2">
      <c r="B55" s="36" t="s">
        <v>150</v>
      </c>
      <c r="C55" s="19" t="s">
        <v>151</v>
      </c>
      <c r="D55" s="43" t="s">
        <v>152</v>
      </c>
      <c r="E55" s="84" t="s">
        <v>153</v>
      </c>
      <c r="F55" s="84"/>
      <c r="G55" s="84"/>
    </row>
    <row r="56" spans="2:7" x14ac:dyDescent="0.2">
      <c r="B56" s="34" t="s">
        <v>154</v>
      </c>
      <c r="C56" s="17" t="s">
        <v>44</v>
      </c>
      <c r="D56" s="42" t="s">
        <v>155</v>
      </c>
      <c r="E56" s="1" t="s">
        <v>156</v>
      </c>
      <c r="F56" s="1"/>
      <c r="G56" s="1"/>
    </row>
    <row r="57" spans="2:7" x14ac:dyDescent="0.2">
      <c r="B57" s="36" t="s">
        <v>157</v>
      </c>
      <c r="C57" s="19" t="s">
        <v>158</v>
      </c>
      <c r="D57" s="43" t="s">
        <v>159</v>
      </c>
      <c r="E57" s="84" t="s">
        <v>160</v>
      </c>
      <c r="F57" s="84"/>
      <c r="G57" s="84"/>
    </row>
    <row r="58" spans="2:7" x14ac:dyDescent="0.2">
      <c r="B58" s="34" t="s">
        <v>161</v>
      </c>
      <c r="C58" s="17" t="s">
        <v>162</v>
      </c>
      <c r="D58" s="42" t="s">
        <v>155</v>
      </c>
      <c r="E58" s="1" t="s">
        <v>163</v>
      </c>
      <c r="F58" s="1"/>
      <c r="G58" s="1"/>
    </row>
  </sheetData>
  <mergeCells count="15">
    <mergeCell ref="E54:G54"/>
    <mergeCell ref="E55:G55"/>
    <mergeCell ref="E56:G56"/>
    <mergeCell ref="E57:G57"/>
    <mergeCell ref="E58:G58"/>
    <mergeCell ref="D10:G10"/>
    <mergeCell ref="D11:G11"/>
    <mergeCell ref="B14:G14"/>
    <mergeCell ref="B27:G27"/>
    <mergeCell ref="B52:G52"/>
    <mergeCell ref="B2:G2"/>
    <mergeCell ref="B3:G3"/>
    <mergeCell ref="B6:G6"/>
    <mergeCell ref="D8:G8"/>
    <mergeCell ref="D9:G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showGridLines="0" topLeftCell="A2" zoomScaleNormal="100" workbookViewId="0">
      <selection activeCell="D22" sqref="D22:G22"/>
    </sheetView>
  </sheetViews>
  <sheetFormatPr baseColWidth="10" defaultColWidth="8.6640625" defaultRowHeight="15" x14ac:dyDescent="0.2"/>
  <cols>
    <col min="1" max="1" width="3" customWidth="1"/>
    <col min="2" max="2" width="22" customWidth="1"/>
    <col min="3" max="7" width="14" customWidth="1"/>
    <col min="8" max="8" width="30" customWidth="1"/>
    <col min="9" max="9" width="3" customWidth="1"/>
  </cols>
  <sheetData>
    <row r="1" spans="1:9" x14ac:dyDescent="0.2">
      <c r="A1" s="14"/>
      <c r="B1" s="14"/>
      <c r="C1" s="14"/>
      <c r="D1" s="14"/>
      <c r="E1" s="14"/>
      <c r="F1" s="14"/>
      <c r="G1" s="14"/>
      <c r="H1" s="14"/>
      <c r="I1" s="14"/>
    </row>
    <row r="2" spans="1:9" ht="18" x14ac:dyDescent="0.2">
      <c r="A2" s="14"/>
      <c r="B2" s="4" t="s">
        <v>164</v>
      </c>
      <c r="C2" s="4"/>
      <c r="D2" s="4"/>
      <c r="E2" s="4"/>
      <c r="F2" s="4"/>
      <c r="G2" s="4"/>
      <c r="H2" s="4"/>
      <c r="I2" s="14"/>
    </row>
    <row r="3" spans="1:9" x14ac:dyDescent="0.2">
      <c r="A3" s="14"/>
      <c r="B3" s="3" t="s">
        <v>165</v>
      </c>
      <c r="C3" s="3"/>
      <c r="D3" s="3"/>
      <c r="E3" s="3"/>
      <c r="F3" s="3"/>
      <c r="G3" s="3"/>
      <c r="H3" s="3"/>
      <c r="I3" s="14"/>
    </row>
    <row r="4" spans="1:9" x14ac:dyDescent="0.2">
      <c r="A4" s="14"/>
      <c r="B4" s="14"/>
      <c r="C4" s="14"/>
      <c r="D4" s="14"/>
      <c r="E4" s="14"/>
      <c r="F4" s="14"/>
      <c r="G4" s="14"/>
      <c r="H4" s="14"/>
      <c r="I4" s="14"/>
    </row>
    <row r="6" spans="1:9" x14ac:dyDescent="0.2">
      <c r="B6" s="2" t="s">
        <v>166</v>
      </c>
      <c r="C6" s="2"/>
      <c r="D6" s="2"/>
      <c r="E6" s="2"/>
      <c r="F6" s="2"/>
      <c r="G6" s="2"/>
      <c r="H6" s="2"/>
    </row>
    <row r="7" spans="1:9" x14ac:dyDescent="0.2">
      <c r="B7" s="15" t="s">
        <v>167</v>
      </c>
      <c r="C7" s="15" t="s">
        <v>168</v>
      </c>
      <c r="D7" s="15" t="s">
        <v>83</v>
      </c>
      <c r="E7" s="15" t="s">
        <v>169</v>
      </c>
      <c r="F7" s="15" t="s">
        <v>129</v>
      </c>
      <c r="G7" s="15" t="s">
        <v>170</v>
      </c>
    </row>
    <row r="8" spans="1:9" x14ac:dyDescent="0.2">
      <c r="B8" s="16" t="s">
        <v>168</v>
      </c>
      <c r="C8" s="91">
        <v>1</v>
      </c>
      <c r="D8" s="44">
        <v>0.41199999999999998</v>
      </c>
      <c r="E8" s="44">
        <v>0.52</v>
      </c>
      <c r="F8" s="45">
        <v>8.2000000000000003E-2</v>
      </c>
      <c r="G8" s="46">
        <v>-0.215</v>
      </c>
    </row>
    <row r="9" spans="1:9" x14ac:dyDescent="0.2">
      <c r="B9" s="18" t="s">
        <v>83</v>
      </c>
      <c r="C9" s="44">
        <v>0.41199999999999998</v>
      </c>
      <c r="D9" s="91">
        <v>1</v>
      </c>
      <c r="E9" s="47">
        <v>0.93200000000000005</v>
      </c>
      <c r="F9" s="45">
        <v>5.0999999999999997E-2</v>
      </c>
      <c r="G9" s="48">
        <v>-0.51200000000000001</v>
      </c>
    </row>
    <row r="10" spans="1:9" x14ac:dyDescent="0.2">
      <c r="B10" s="16" t="s">
        <v>169</v>
      </c>
      <c r="C10" s="44">
        <v>0.52</v>
      </c>
      <c r="D10" s="47">
        <v>0.93200000000000005</v>
      </c>
      <c r="E10" s="91">
        <v>1</v>
      </c>
      <c r="F10" s="45">
        <v>4.2999999999999997E-2</v>
      </c>
      <c r="G10" s="48">
        <v>-0.498</v>
      </c>
    </row>
    <row r="11" spans="1:9" x14ac:dyDescent="0.2">
      <c r="B11" s="18" t="s">
        <v>129</v>
      </c>
      <c r="C11" s="45">
        <v>8.2000000000000003E-2</v>
      </c>
      <c r="D11" s="45">
        <v>5.0999999999999997E-2</v>
      </c>
      <c r="E11" s="45">
        <v>4.2999999999999997E-2</v>
      </c>
      <c r="F11" s="91">
        <v>1</v>
      </c>
      <c r="G11" s="45">
        <v>0.187</v>
      </c>
    </row>
    <row r="12" spans="1:9" x14ac:dyDescent="0.2">
      <c r="B12" s="16" t="s">
        <v>170</v>
      </c>
      <c r="C12" s="46">
        <v>-0.215</v>
      </c>
      <c r="D12" s="48">
        <v>-0.51200000000000001</v>
      </c>
      <c r="E12" s="48">
        <v>-0.498</v>
      </c>
      <c r="F12" s="45">
        <v>0.187</v>
      </c>
      <c r="G12" s="91">
        <v>1</v>
      </c>
    </row>
    <row r="15" spans="1:9" x14ac:dyDescent="0.2">
      <c r="B15" s="2" t="s">
        <v>171</v>
      </c>
      <c r="C15" s="2"/>
      <c r="D15" s="2"/>
      <c r="E15" s="2"/>
      <c r="F15" s="2"/>
      <c r="G15" s="2"/>
      <c r="H15" s="2"/>
    </row>
    <row r="16" spans="1:9" x14ac:dyDescent="0.2">
      <c r="B16" s="15" t="s">
        <v>172</v>
      </c>
      <c r="C16" s="15" t="s">
        <v>173</v>
      </c>
      <c r="D16" s="15"/>
      <c r="E16" s="15" t="s">
        <v>85</v>
      </c>
      <c r="F16" s="15"/>
      <c r="G16" s="15"/>
    </row>
    <row r="17" spans="2:8" x14ac:dyDescent="0.2">
      <c r="B17" s="49" t="s">
        <v>174</v>
      </c>
      <c r="C17" s="50"/>
      <c r="D17" s="85" t="s">
        <v>175</v>
      </c>
      <c r="E17" s="85"/>
      <c r="F17" s="85"/>
      <c r="G17" s="85"/>
    </row>
    <row r="18" spans="2:8" x14ac:dyDescent="0.2">
      <c r="B18" s="51" t="s">
        <v>176</v>
      </c>
      <c r="C18" s="52"/>
      <c r="D18" s="86" t="s">
        <v>177</v>
      </c>
      <c r="E18" s="86"/>
      <c r="F18" s="86"/>
      <c r="G18" s="86"/>
    </row>
    <row r="19" spans="2:8" x14ac:dyDescent="0.2">
      <c r="B19" s="49" t="s">
        <v>178</v>
      </c>
      <c r="C19" s="53"/>
      <c r="D19" s="85" t="s">
        <v>179</v>
      </c>
      <c r="E19" s="85"/>
      <c r="F19" s="85"/>
      <c r="G19" s="85"/>
    </row>
    <row r="20" spans="2:8" x14ac:dyDescent="0.2">
      <c r="B20" s="51" t="s">
        <v>180</v>
      </c>
      <c r="C20" s="54"/>
      <c r="D20" s="86" t="s">
        <v>181</v>
      </c>
      <c r="E20" s="86"/>
      <c r="F20" s="86"/>
      <c r="G20" s="86"/>
    </row>
    <row r="21" spans="2:8" x14ac:dyDescent="0.2">
      <c r="B21" s="49" t="s">
        <v>182</v>
      </c>
      <c r="C21" s="55"/>
      <c r="D21" s="85" t="s">
        <v>183</v>
      </c>
      <c r="E21" s="85"/>
      <c r="F21" s="85"/>
      <c r="G21" s="85"/>
    </row>
    <row r="22" spans="2:8" x14ac:dyDescent="0.2">
      <c r="B22" s="51" t="s">
        <v>184</v>
      </c>
      <c r="C22" s="56"/>
      <c r="D22" s="86" t="s">
        <v>185</v>
      </c>
      <c r="E22" s="86"/>
      <c r="F22" s="86"/>
      <c r="G22" s="86"/>
    </row>
    <row r="25" spans="2:8" x14ac:dyDescent="0.2">
      <c r="B25" s="2" t="s">
        <v>186</v>
      </c>
      <c r="C25" s="2"/>
      <c r="D25" s="2"/>
      <c r="E25" s="2"/>
      <c r="F25" s="2"/>
      <c r="G25" s="2"/>
      <c r="H25" s="2"/>
    </row>
    <row r="26" spans="2:8" x14ac:dyDescent="0.2">
      <c r="B26" s="15" t="s">
        <v>187</v>
      </c>
      <c r="C26" s="7" t="s">
        <v>188</v>
      </c>
      <c r="D26" s="7"/>
      <c r="E26" s="7"/>
      <c r="F26" s="7"/>
      <c r="G26" s="7"/>
    </row>
    <row r="27" spans="2:8" ht="27.75" customHeight="1" x14ac:dyDescent="0.2">
      <c r="B27" s="16" t="s">
        <v>189</v>
      </c>
      <c r="C27" s="87" t="s">
        <v>190</v>
      </c>
      <c r="D27" s="87"/>
      <c r="E27" s="87"/>
      <c r="F27" s="87"/>
      <c r="G27" s="87"/>
    </row>
    <row r="28" spans="2:8" ht="27.75" customHeight="1" x14ac:dyDescent="0.2">
      <c r="B28" s="18" t="s">
        <v>191</v>
      </c>
      <c r="C28" s="88" t="s">
        <v>192</v>
      </c>
      <c r="D28" s="88"/>
      <c r="E28" s="88"/>
      <c r="F28" s="88"/>
      <c r="G28" s="88"/>
    </row>
    <row r="29" spans="2:8" ht="27.75" customHeight="1" x14ac:dyDescent="0.2">
      <c r="B29" s="16" t="s">
        <v>193</v>
      </c>
      <c r="C29" s="87" t="s">
        <v>194</v>
      </c>
      <c r="D29" s="87"/>
      <c r="E29" s="87"/>
      <c r="F29" s="87"/>
      <c r="G29" s="87"/>
    </row>
    <row r="30" spans="2:8" ht="27.75" customHeight="1" x14ac:dyDescent="0.2">
      <c r="B30" s="18" t="s">
        <v>195</v>
      </c>
      <c r="C30" s="88" t="s">
        <v>196</v>
      </c>
      <c r="D30" s="88"/>
      <c r="E30" s="88"/>
      <c r="F30" s="88"/>
      <c r="G30" s="88"/>
    </row>
    <row r="31" spans="2:8" ht="27.75" customHeight="1" x14ac:dyDescent="0.2">
      <c r="B31" s="16" t="s">
        <v>197</v>
      </c>
      <c r="C31" s="87" t="s">
        <v>198</v>
      </c>
      <c r="D31" s="87"/>
      <c r="E31" s="87"/>
      <c r="F31" s="87"/>
      <c r="G31" s="87"/>
    </row>
    <row r="32" spans="2:8" ht="27.75" customHeight="1" x14ac:dyDescent="0.2">
      <c r="B32" s="18" t="s">
        <v>199</v>
      </c>
      <c r="C32" s="88" t="s">
        <v>200</v>
      </c>
      <c r="D32" s="88"/>
      <c r="E32" s="88"/>
      <c r="F32" s="88"/>
      <c r="G32" s="88"/>
    </row>
  </sheetData>
  <mergeCells count="18">
    <mergeCell ref="C30:G30"/>
    <mergeCell ref="C31:G31"/>
    <mergeCell ref="C32:G32"/>
    <mergeCell ref="B25:H25"/>
    <mergeCell ref="C26:G26"/>
    <mergeCell ref="C27:G27"/>
    <mergeCell ref="C28:G28"/>
    <mergeCell ref="C29:G29"/>
    <mergeCell ref="D18:G18"/>
    <mergeCell ref="D19:G19"/>
    <mergeCell ref="D20:G20"/>
    <mergeCell ref="D21:G21"/>
    <mergeCell ref="D22:G22"/>
    <mergeCell ref="B2:H2"/>
    <mergeCell ref="B3:H3"/>
    <mergeCell ref="B6:H6"/>
    <mergeCell ref="B15:H15"/>
    <mergeCell ref="D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showGridLines="0" zoomScaleNormal="100" workbookViewId="0">
      <selection activeCell="B15" sqref="B15:F15"/>
    </sheetView>
  </sheetViews>
  <sheetFormatPr baseColWidth="10" defaultColWidth="8.6640625" defaultRowHeight="15" x14ac:dyDescent="0.2"/>
  <cols>
    <col min="1" max="1" width="3" customWidth="1"/>
    <col min="2" max="2" width="15.83203125" bestFit="1" customWidth="1"/>
    <col min="3" max="3" width="24.33203125" bestFit="1" customWidth="1"/>
    <col min="4" max="4" width="20" bestFit="1" customWidth="1"/>
    <col min="5" max="6" width="26.83203125" bestFit="1" customWidth="1"/>
    <col min="7" max="7" width="3" customWidth="1"/>
  </cols>
  <sheetData>
    <row r="1" spans="1:7" x14ac:dyDescent="0.2">
      <c r="A1" s="14"/>
      <c r="B1" s="14"/>
      <c r="C1" s="14"/>
      <c r="D1" s="14"/>
      <c r="E1" s="14"/>
      <c r="F1" s="14"/>
      <c r="G1" s="14"/>
    </row>
    <row r="2" spans="1:7" ht="18" x14ac:dyDescent="0.2">
      <c r="A2" s="14"/>
      <c r="B2" s="4" t="s">
        <v>201</v>
      </c>
      <c r="C2" s="4"/>
      <c r="D2" s="4"/>
      <c r="E2" s="4"/>
      <c r="F2" s="4"/>
      <c r="G2" s="14"/>
    </row>
    <row r="3" spans="1:7" x14ac:dyDescent="0.2">
      <c r="A3" s="14"/>
      <c r="B3" s="3" t="s">
        <v>202</v>
      </c>
      <c r="C3" s="3"/>
      <c r="D3" s="3"/>
      <c r="E3" s="3"/>
      <c r="F3" s="3"/>
      <c r="G3" s="14"/>
    </row>
    <row r="4" spans="1:7" x14ac:dyDescent="0.2">
      <c r="A4" s="14"/>
      <c r="B4" s="14"/>
      <c r="C4" s="14"/>
      <c r="D4" s="14"/>
      <c r="E4" s="14"/>
      <c r="F4" s="14"/>
      <c r="G4" s="14"/>
    </row>
    <row r="6" spans="1:7" x14ac:dyDescent="0.2">
      <c r="B6" s="2" t="s">
        <v>203</v>
      </c>
      <c r="C6" s="2"/>
      <c r="D6" s="2"/>
      <c r="E6" s="2"/>
      <c r="F6" s="2"/>
    </row>
    <row r="7" spans="1:7" x14ac:dyDescent="0.2">
      <c r="B7" s="15" t="s">
        <v>20</v>
      </c>
      <c r="C7" s="15" t="s">
        <v>204</v>
      </c>
      <c r="D7" s="15" t="s">
        <v>205</v>
      </c>
      <c r="E7" s="15" t="s">
        <v>206</v>
      </c>
      <c r="F7" s="15" t="s">
        <v>207</v>
      </c>
    </row>
    <row r="8" spans="1:7" ht="24" customHeight="1" x14ac:dyDescent="0.2">
      <c r="B8" s="42" t="s">
        <v>208</v>
      </c>
      <c r="C8" s="17" t="s">
        <v>209</v>
      </c>
      <c r="D8" s="31" t="s">
        <v>210</v>
      </c>
      <c r="E8" s="57" t="s">
        <v>211</v>
      </c>
      <c r="F8" s="31" t="s">
        <v>212</v>
      </c>
    </row>
    <row r="9" spans="1:7" ht="24" customHeight="1" x14ac:dyDescent="0.2">
      <c r="B9" s="43" t="s">
        <v>213</v>
      </c>
      <c r="C9" s="19" t="s">
        <v>214</v>
      </c>
      <c r="D9" s="33" t="s">
        <v>215</v>
      </c>
      <c r="E9" s="58" t="s">
        <v>216</v>
      </c>
      <c r="F9" s="33" t="s">
        <v>61</v>
      </c>
    </row>
    <row r="10" spans="1:7" ht="24" customHeight="1" x14ac:dyDescent="0.2">
      <c r="B10" s="42" t="s">
        <v>217</v>
      </c>
      <c r="C10" s="17" t="s">
        <v>218</v>
      </c>
      <c r="D10" s="31" t="s">
        <v>219</v>
      </c>
      <c r="E10" s="57" t="s">
        <v>220</v>
      </c>
      <c r="F10" s="31" t="s">
        <v>221</v>
      </c>
    </row>
    <row r="11" spans="1:7" ht="24" customHeight="1" x14ac:dyDescent="0.2">
      <c r="B11" s="43" t="s">
        <v>222</v>
      </c>
      <c r="C11" s="19" t="s">
        <v>223</v>
      </c>
      <c r="D11" s="33" t="s">
        <v>224</v>
      </c>
      <c r="E11" s="58" t="s">
        <v>225</v>
      </c>
      <c r="F11" s="33" t="s">
        <v>221</v>
      </c>
    </row>
    <row r="12" spans="1:7" ht="24" customHeight="1" x14ac:dyDescent="0.2">
      <c r="B12" s="42" t="s">
        <v>226</v>
      </c>
      <c r="C12" s="17" t="s">
        <v>227</v>
      </c>
      <c r="D12" s="31" t="s">
        <v>228</v>
      </c>
      <c r="E12" s="57" t="s">
        <v>229</v>
      </c>
      <c r="F12" s="31" t="s">
        <v>230</v>
      </c>
    </row>
    <row r="15" spans="1:7" x14ac:dyDescent="0.2">
      <c r="B15" s="2" t="s">
        <v>231</v>
      </c>
      <c r="C15" s="2"/>
      <c r="D15" s="2"/>
      <c r="E15" s="2"/>
      <c r="F15" s="2"/>
    </row>
    <row r="16" spans="1:7" x14ac:dyDescent="0.2">
      <c r="B16" s="15" t="s">
        <v>143</v>
      </c>
      <c r="C16" s="15" t="s">
        <v>232</v>
      </c>
      <c r="D16" s="15" t="s">
        <v>233</v>
      </c>
      <c r="E16" s="15" t="s">
        <v>234</v>
      </c>
      <c r="F16" s="15" t="s">
        <v>235</v>
      </c>
    </row>
    <row r="17" spans="2:6" x14ac:dyDescent="0.2">
      <c r="B17" s="21" t="s">
        <v>236</v>
      </c>
      <c r="C17" s="35" t="s">
        <v>237</v>
      </c>
      <c r="D17" s="21" t="s">
        <v>238</v>
      </c>
      <c r="E17" s="49" t="s">
        <v>239</v>
      </c>
      <c r="F17" s="31" t="s">
        <v>240</v>
      </c>
    </row>
    <row r="18" spans="2:6" x14ac:dyDescent="0.2">
      <c r="B18" s="25" t="s">
        <v>241</v>
      </c>
      <c r="C18" s="37" t="s">
        <v>242</v>
      </c>
      <c r="D18" s="25" t="s">
        <v>243</v>
      </c>
      <c r="E18" s="26" t="s">
        <v>426</v>
      </c>
      <c r="F18" s="33" t="s">
        <v>244</v>
      </c>
    </row>
    <row r="19" spans="2:6" x14ac:dyDescent="0.2">
      <c r="B19" s="21" t="s">
        <v>245</v>
      </c>
      <c r="C19" s="35" t="s">
        <v>148</v>
      </c>
      <c r="D19" s="21" t="s">
        <v>246</v>
      </c>
      <c r="E19" s="28" t="s">
        <v>427</v>
      </c>
      <c r="F19" s="31" t="s">
        <v>247</v>
      </c>
    </row>
    <row r="20" spans="2:6" x14ac:dyDescent="0.2">
      <c r="B20" s="25" t="s">
        <v>248</v>
      </c>
      <c r="C20" s="37" t="s">
        <v>249</v>
      </c>
      <c r="D20" s="25" t="s">
        <v>250</v>
      </c>
      <c r="E20" s="22" t="s">
        <v>428</v>
      </c>
      <c r="F20" s="33" t="s">
        <v>251</v>
      </c>
    </row>
    <row r="21" spans="2:6" x14ac:dyDescent="0.2">
      <c r="B21" s="21" t="s">
        <v>252</v>
      </c>
      <c r="C21" s="35" t="s">
        <v>152</v>
      </c>
      <c r="D21" s="21" t="s">
        <v>253</v>
      </c>
      <c r="E21" s="22" t="s">
        <v>429</v>
      </c>
      <c r="F21" s="31" t="s">
        <v>254</v>
      </c>
    </row>
    <row r="22" spans="2:6" x14ac:dyDescent="0.2">
      <c r="B22" s="25" t="s">
        <v>255</v>
      </c>
      <c r="C22" s="37" t="s">
        <v>256</v>
      </c>
      <c r="D22" s="25" t="s">
        <v>257</v>
      </c>
      <c r="E22" s="49" t="s">
        <v>239</v>
      </c>
      <c r="F22" s="33" t="s">
        <v>258</v>
      </c>
    </row>
    <row r="23" spans="2:6" x14ac:dyDescent="0.2">
      <c r="B23" s="21" t="s">
        <v>259</v>
      </c>
      <c r="C23" s="35" t="s">
        <v>260</v>
      </c>
      <c r="D23" s="21" t="s">
        <v>261</v>
      </c>
      <c r="E23" s="26" t="s">
        <v>262</v>
      </c>
      <c r="F23" s="31" t="s">
        <v>263</v>
      </c>
    </row>
    <row r="24" spans="2:6" x14ac:dyDescent="0.2">
      <c r="B24" s="25" t="s">
        <v>264</v>
      </c>
      <c r="C24" s="37" t="s">
        <v>265</v>
      </c>
      <c r="D24" s="25" t="s">
        <v>266</v>
      </c>
      <c r="E24" s="26" t="s">
        <v>430</v>
      </c>
      <c r="F24" s="33" t="s">
        <v>267</v>
      </c>
    </row>
    <row r="27" spans="2:6" x14ac:dyDescent="0.2">
      <c r="B27" s="2" t="s">
        <v>268</v>
      </c>
      <c r="C27" s="2"/>
      <c r="D27" s="2"/>
      <c r="E27" s="2"/>
      <c r="F27" s="2"/>
    </row>
    <row r="28" spans="2:6" x14ac:dyDescent="0.2">
      <c r="B28" s="15" t="s">
        <v>269</v>
      </c>
      <c r="C28" s="7" t="s">
        <v>270</v>
      </c>
      <c r="D28" s="7"/>
      <c r="E28" s="7"/>
      <c r="F28" s="7"/>
    </row>
    <row r="29" spans="2:6" ht="31.5" customHeight="1" x14ac:dyDescent="0.2">
      <c r="B29" s="16" t="s">
        <v>271</v>
      </c>
      <c r="C29" s="87" t="s">
        <v>272</v>
      </c>
      <c r="D29" s="87"/>
      <c r="E29" s="87"/>
      <c r="F29" s="87"/>
    </row>
    <row r="30" spans="2:6" ht="31.5" customHeight="1" x14ac:dyDescent="0.2">
      <c r="B30" s="18" t="s">
        <v>273</v>
      </c>
      <c r="C30" s="88" t="s">
        <v>274</v>
      </c>
      <c r="D30" s="88"/>
      <c r="E30" s="88"/>
      <c r="F30" s="88"/>
    </row>
    <row r="31" spans="2:6" ht="31.5" customHeight="1" x14ac:dyDescent="0.2">
      <c r="B31" s="16" t="s">
        <v>275</v>
      </c>
      <c r="C31" s="87" t="s">
        <v>276</v>
      </c>
      <c r="D31" s="87"/>
      <c r="E31" s="87"/>
      <c r="F31" s="87"/>
    </row>
    <row r="32" spans="2:6" ht="31.5" customHeight="1" x14ac:dyDescent="0.2">
      <c r="B32" s="18" t="s">
        <v>277</v>
      </c>
      <c r="C32" s="88" t="s">
        <v>278</v>
      </c>
      <c r="D32" s="88"/>
      <c r="E32" s="88"/>
      <c r="F32" s="88"/>
    </row>
    <row r="33" spans="2:6" ht="31.5" customHeight="1" x14ac:dyDescent="0.2">
      <c r="B33" s="16" t="s">
        <v>279</v>
      </c>
      <c r="C33" s="87" t="s">
        <v>280</v>
      </c>
      <c r="D33" s="87"/>
      <c r="E33" s="87"/>
      <c r="F33" s="87"/>
    </row>
    <row r="34" spans="2:6" ht="31.5" customHeight="1" x14ac:dyDescent="0.2">
      <c r="B34" s="18" t="s">
        <v>281</v>
      </c>
      <c r="C34" s="88" t="s">
        <v>282</v>
      </c>
      <c r="D34" s="88"/>
      <c r="E34" s="88"/>
      <c r="F34" s="88"/>
    </row>
  </sheetData>
  <mergeCells count="12">
    <mergeCell ref="C33:F33"/>
    <mergeCell ref="C34:F34"/>
    <mergeCell ref="C28:F28"/>
    <mergeCell ref="C29:F29"/>
    <mergeCell ref="C30:F30"/>
    <mergeCell ref="C31:F31"/>
    <mergeCell ref="C32:F32"/>
    <mergeCell ref="B2:F2"/>
    <mergeCell ref="B3:F3"/>
    <mergeCell ref="B6:F6"/>
    <mergeCell ref="B15:F15"/>
    <mergeCell ref="B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showGridLines="0" topLeftCell="A17" zoomScaleNormal="100" workbookViewId="0"/>
  </sheetViews>
  <sheetFormatPr baseColWidth="10" defaultColWidth="8.6640625" defaultRowHeight="15" x14ac:dyDescent="0.2"/>
  <cols>
    <col min="1" max="1" width="3" customWidth="1"/>
    <col min="2" max="2" width="22" customWidth="1"/>
    <col min="3" max="6" width="16" customWidth="1"/>
    <col min="7" max="7" width="30" customWidth="1"/>
    <col min="8" max="8" width="3" customWidth="1"/>
  </cols>
  <sheetData>
    <row r="1" spans="1:8" x14ac:dyDescent="0.2">
      <c r="A1" s="14"/>
      <c r="B1" s="14"/>
      <c r="C1" s="14"/>
      <c r="D1" s="14"/>
      <c r="E1" s="14"/>
      <c r="F1" s="14"/>
      <c r="G1" s="14"/>
      <c r="H1" s="14"/>
    </row>
    <row r="2" spans="1:8" ht="18" x14ac:dyDescent="0.2">
      <c r="A2" s="14"/>
      <c r="B2" s="4" t="s">
        <v>283</v>
      </c>
      <c r="C2" s="4"/>
      <c r="D2" s="4"/>
      <c r="E2" s="4"/>
      <c r="F2" s="4"/>
      <c r="G2" s="4"/>
      <c r="H2" s="14"/>
    </row>
    <row r="3" spans="1:8" x14ac:dyDescent="0.2">
      <c r="A3" s="14"/>
      <c r="B3" s="3" t="s">
        <v>284</v>
      </c>
      <c r="C3" s="3"/>
      <c r="D3" s="3"/>
      <c r="E3" s="3"/>
      <c r="F3" s="3"/>
      <c r="G3" s="3"/>
      <c r="H3" s="14"/>
    </row>
    <row r="4" spans="1:8" x14ac:dyDescent="0.2">
      <c r="A4" s="14"/>
      <c r="B4" s="14"/>
      <c r="C4" s="14"/>
      <c r="D4" s="14"/>
      <c r="E4" s="14"/>
      <c r="F4" s="14"/>
      <c r="G4" s="14"/>
      <c r="H4" s="14"/>
    </row>
    <row r="6" spans="1:8" x14ac:dyDescent="0.2">
      <c r="B6" s="2" t="s">
        <v>285</v>
      </c>
      <c r="C6" s="2"/>
      <c r="D6" s="2"/>
      <c r="E6" s="2"/>
      <c r="F6" s="2"/>
      <c r="G6" s="2"/>
    </row>
    <row r="7" spans="1:8" x14ac:dyDescent="0.2">
      <c r="B7" s="15" t="s">
        <v>286</v>
      </c>
      <c r="C7" s="15" t="s">
        <v>21</v>
      </c>
      <c r="D7" s="15" t="s">
        <v>71</v>
      </c>
      <c r="E7" s="15"/>
      <c r="F7" s="15"/>
      <c r="G7" s="15"/>
    </row>
    <row r="8" spans="1:8" x14ac:dyDescent="0.2">
      <c r="B8" s="17" t="s">
        <v>287</v>
      </c>
      <c r="C8" s="30" t="s">
        <v>288</v>
      </c>
      <c r="D8" s="1" t="s">
        <v>289</v>
      </c>
      <c r="E8" s="1"/>
      <c r="F8" s="1"/>
      <c r="G8" s="1"/>
    </row>
    <row r="9" spans="1:8" x14ac:dyDescent="0.2">
      <c r="B9" s="19" t="s">
        <v>290</v>
      </c>
      <c r="C9" s="32" t="s">
        <v>291</v>
      </c>
      <c r="D9" s="84" t="s">
        <v>292</v>
      </c>
      <c r="E9" s="84"/>
      <c r="F9" s="84"/>
      <c r="G9" s="84"/>
    </row>
    <row r="10" spans="1:8" x14ac:dyDescent="0.2">
      <c r="B10" s="17" t="s">
        <v>293</v>
      </c>
      <c r="C10" s="30" t="s">
        <v>294</v>
      </c>
      <c r="D10" s="1" t="s">
        <v>295</v>
      </c>
      <c r="E10" s="1"/>
      <c r="F10" s="1"/>
      <c r="G10" s="1"/>
    </row>
    <row r="11" spans="1:8" x14ac:dyDescent="0.2">
      <c r="B11" s="19" t="s">
        <v>296</v>
      </c>
      <c r="C11" s="32" t="s">
        <v>297</v>
      </c>
      <c r="D11" s="84" t="s">
        <v>298</v>
      </c>
      <c r="E11" s="84"/>
      <c r="F11" s="84"/>
      <c r="G11" s="84"/>
    </row>
    <row r="12" spans="1:8" x14ac:dyDescent="0.2">
      <c r="B12" s="17" t="s">
        <v>299</v>
      </c>
      <c r="C12" s="30" t="s">
        <v>300</v>
      </c>
      <c r="D12" s="1" t="s">
        <v>301</v>
      </c>
      <c r="E12" s="1"/>
      <c r="F12" s="1"/>
      <c r="G12" s="1"/>
    </row>
    <row r="13" spans="1:8" x14ac:dyDescent="0.2">
      <c r="B13" s="19" t="s">
        <v>302</v>
      </c>
      <c r="C13" s="32" t="s">
        <v>303</v>
      </c>
      <c r="D13" s="84" t="s">
        <v>304</v>
      </c>
      <c r="E13" s="84"/>
      <c r="F13" s="84"/>
      <c r="G13" s="84"/>
    </row>
    <row r="14" spans="1:8" x14ac:dyDescent="0.2">
      <c r="B14" s="17" t="s">
        <v>305</v>
      </c>
      <c r="C14" s="30" t="s">
        <v>306</v>
      </c>
      <c r="D14" s="1" t="s">
        <v>307</v>
      </c>
      <c r="E14" s="1"/>
      <c r="F14" s="1"/>
      <c r="G14" s="1"/>
    </row>
    <row r="17" spans="2:7" x14ac:dyDescent="0.2">
      <c r="B17" s="2" t="s">
        <v>308</v>
      </c>
      <c r="C17" s="2"/>
      <c r="D17" s="2"/>
      <c r="E17" s="2"/>
      <c r="F17" s="2"/>
      <c r="G17" s="2"/>
    </row>
    <row r="18" spans="2:7" x14ac:dyDescent="0.2">
      <c r="B18" s="15" t="s">
        <v>309</v>
      </c>
      <c r="C18" s="15" t="s">
        <v>310</v>
      </c>
      <c r="D18" s="15" t="s">
        <v>311</v>
      </c>
      <c r="E18" s="15" t="s">
        <v>312</v>
      </c>
      <c r="F18" s="15" t="s">
        <v>313</v>
      </c>
      <c r="G18" s="15" t="s">
        <v>314</v>
      </c>
    </row>
    <row r="19" spans="2:7" ht="43.5" customHeight="1" x14ac:dyDescent="0.2">
      <c r="B19" s="59" t="s">
        <v>315</v>
      </c>
      <c r="C19" s="60" t="s">
        <v>316</v>
      </c>
      <c r="D19" s="60" t="s">
        <v>317</v>
      </c>
      <c r="E19" s="60" t="s">
        <v>318</v>
      </c>
      <c r="F19" s="61" t="s">
        <v>319</v>
      </c>
      <c r="G19" s="62" t="s">
        <v>320</v>
      </c>
    </row>
    <row r="20" spans="2:7" ht="43.5" customHeight="1" x14ac:dyDescent="0.2">
      <c r="B20" s="63" t="s">
        <v>321</v>
      </c>
      <c r="C20" s="64" t="s">
        <v>316</v>
      </c>
      <c r="D20" s="64" t="s">
        <v>322</v>
      </c>
      <c r="E20" s="64" t="s">
        <v>323</v>
      </c>
      <c r="F20" s="65" t="s">
        <v>324</v>
      </c>
      <c r="G20" s="66" t="s">
        <v>325</v>
      </c>
    </row>
    <row r="21" spans="2:7" ht="43.5" customHeight="1" x14ac:dyDescent="0.2">
      <c r="B21" s="59" t="s">
        <v>326</v>
      </c>
      <c r="C21" s="60" t="s">
        <v>327</v>
      </c>
      <c r="D21" s="60" t="s">
        <v>328</v>
      </c>
      <c r="E21" s="60" t="s">
        <v>329</v>
      </c>
      <c r="F21" s="61" t="s">
        <v>324</v>
      </c>
      <c r="G21" s="62" t="s">
        <v>330</v>
      </c>
    </row>
    <row r="22" spans="2:7" ht="43.5" customHeight="1" x14ac:dyDescent="0.2">
      <c r="B22" s="63" t="s">
        <v>331</v>
      </c>
      <c r="C22" s="64" t="s">
        <v>332</v>
      </c>
      <c r="D22" s="64" t="s">
        <v>333</v>
      </c>
      <c r="E22" s="64" t="s">
        <v>334</v>
      </c>
      <c r="F22" s="65" t="s">
        <v>335</v>
      </c>
      <c r="G22" s="66" t="s">
        <v>336</v>
      </c>
    </row>
    <row r="23" spans="2:7" ht="43.5" customHeight="1" x14ac:dyDescent="0.2">
      <c r="B23" s="67" t="s">
        <v>337</v>
      </c>
      <c r="C23" s="68" t="s">
        <v>338</v>
      </c>
      <c r="D23" s="68" t="s">
        <v>328</v>
      </c>
      <c r="E23" s="68" t="s">
        <v>339</v>
      </c>
      <c r="F23" s="69" t="s">
        <v>340</v>
      </c>
      <c r="G23" s="70" t="s">
        <v>341</v>
      </c>
    </row>
    <row r="26" spans="2:7" x14ac:dyDescent="0.2">
      <c r="B26" s="2" t="s">
        <v>342</v>
      </c>
      <c r="C26" s="2"/>
      <c r="D26" s="2"/>
      <c r="E26" s="2"/>
      <c r="F26" s="2"/>
      <c r="G26" s="2"/>
    </row>
    <row r="27" spans="2:7" x14ac:dyDescent="0.2">
      <c r="B27" s="15" t="s">
        <v>143</v>
      </c>
      <c r="C27" s="15" t="s">
        <v>232</v>
      </c>
      <c r="D27" s="15" t="s">
        <v>343</v>
      </c>
      <c r="E27" s="15" t="s">
        <v>344</v>
      </c>
      <c r="F27" s="15" t="s">
        <v>345</v>
      </c>
      <c r="G27" s="15" t="s">
        <v>346</v>
      </c>
    </row>
    <row r="28" spans="2:7" x14ac:dyDescent="0.2">
      <c r="B28" s="17" t="s">
        <v>288</v>
      </c>
      <c r="C28" s="71">
        <v>47686.81</v>
      </c>
      <c r="D28" s="72">
        <v>476868</v>
      </c>
      <c r="E28" s="72">
        <v>476868</v>
      </c>
      <c r="F28" s="73">
        <v>0</v>
      </c>
      <c r="G28" s="72">
        <v>0</v>
      </c>
    </row>
    <row r="29" spans="2:7" x14ac:dyDescent="0.2">
      <c r="B29" s="19" t="s">
        <v>347</v>
      </c>
      <c r="C29" s="74">
        <v>45538</v>
      </c>
      <c r="D29" s="75">
        <v>455380</v>
      </c>
      <c r="E29" s="75">
        <v>455380</v>
      </c>
      <c r="F29" s="76">
        <v>-21488</v>
      </c>
      <c r="G29" s="76">
        <v>-21488</v>
      </c>
    </row>
    <row r="30" spans="2:7" x14ac:dyDescent="0.2">
      <c r="B30" s="17" t="s">
        <v>348</v>
      </c>
      <c r="C30" s="71">
        <v>19784</v>
      </c>
      <c r="D30" s="72">
        <v>197840</v>
      </c>
      <c r="E30" s="72">
        <v>197840</v>
      </c>
      <c r="F30" s="76">
        <v>-279028</v>
      </c>
      <c r="G30" s="76">
        <v>-279028</v>
      </c>
    </row>
    <row r="31" spans="2:7" x14ac:dyDescent="0.2">
      <c r="B31" s="19" t="s">
        <v>151</v>
      </c>
      <c r="C31" s="74">
        <v>15742</v>
      </c>
      <c r="D31" s="75">
        <v>157420</v>
      </c>
      <c r="E31" s="75">
        <v>157420</v>
      </c>
      <c r="F31" s="76">
        <v>-319448</v>
      </c>
      <c r="G31" s="76">
        <v>-319448</v>
      </c>
    </row>
    <row r="32" spans="2:7" x14ac:dyDescent="0.2">
      <c r="B32" s="17" t="s">
        <v>349</v>
      </c>
      <c r="C32" s="71">
        <v>28476</v>
      </c>
      <c r="D32" s="72">
        <v>284760</v>
      </c>
      <c r="E32" s="72">
        <v>157420</v>
      </c>
      <c r="F32" s="76">
        <v>-192108</v>
      </c>
      <c r="G32" s="76">
        <v>-319448</v>
      </c>
    </row>
    <row r="33" spans="2:7" x14ac:dyDescent="0.2">
      <c r="B33" s="19" t="s">
        <v>350</v>
      </c>
      <c r="C33" s="74">
        <v>42258</v>
      </c>
      <c r="D33" s="75">
        <v>422580</v>
      </c>
      <c r="E33" s="75">
        <v>157420</v>
      </c>
      <c r="F33" s="76">
        <v>-54288</v>
      </c>
      <c r="G33" s="76">
        <v>-319448</v>
      </c>
    </row>
    <row r="34" spans="2:7" x14ac:dyDescent="0.2">
      <c r="B34" s="17" t="s">
        <v>351</v>
      </c>
      <c r="C34" s="71">
        <v>71400</v>
      </c>
      <c r="D34" s="72">
        <v>714000</v>
      </c>
      <c r="E34" s="72">
        <v>157420</v>
      </c>
      <c r="F34" s="73">
        <v>237132</v>
      </c>
      <c r="G34" s="76">
        <v>-319448</v>
      </c>
    </row>
    <row r="35" spans="2:7" x14ac:dyDescent="0.2">
      <c r="B35" s="19" t="s">
        <v>352</v>
      </c>
      <c r="C35" s="74">
        <v>95000</v>
      </c>
      <c r="D35" s="75">
        <v>950000</v>
      </c>
      <c r="E35" s="75">
        <v>157420</v>
      </c>
      <c r="F35" s="73">
        <v>473132</v>
      </c>
      <c r="G35" s="76">
        <v>-319448</v>
      </c>
    </row>
    <row r="38" spans="2:7" x14ac:dyDescent="0.2">
      <c r="B38" s="9" t="s">
        <v>353</v>
      </c>
      <c r="C38" s="9"/>
      <c r="D38" s="9"/>
      <c r="E38" s="9"/>
      <c r="F38" s="9"/>
      <c r="G38" s="9"/>
    </row>
    <row r="39" spans="2:7" ht="79.5" customHeight="1" x14ac:dyDescent="0.2">
      <c r="B39" s="89" t="s">
        <v>354</v>
      </c>
      <c r="C39" s="89"/>
      <c r="D39" s="89"/>
      <c r="E39" s="89"/>
      <c r="F39" s="89"/>
      <c r="G39" s="89"/>
    </row>
    <row r="40" spans="2:7" x14ac:dyDescent="0.2">
      <c r="B40" s="89"/>
      <c r="C40" s="89"/>
      <c r="D40" s="89"/>
      <c r="E40" s="89"/>
      <c r="F40" s="89"/>
      <c r="G40" s="89"/>
    </row>
    <row r="41" spans="2:7" x14ac:dyDescent="0.2">
      <c r="B41" s="89"/>
      <c r="C41" s="89"/>
      <c r="D41" s="89"/>
      <c r="E41" s="89"/>
      <c r="F41" s="89"/>
      <c r="G41" s="89"/>
    </row>
  </sheetData>
  <mergeCells count="14">
    <mergeCell ref="B17:G17"/>
    <mergeCell ref="B26:G26"/>
    <mergeCell ref="B38:G38"/>
    <mergeCell ref="B39:G41"/>
    <mergeCell ref="D10:G10"/>
    <mergeCell ref="D11:G11"/>
    <mergeCell ref="D12:G12"/>
    <mergeCell ref="D13:G13"/>
    <mergeCell ref="D14:G14"/>
    <mergeCell ref="B2:G2"/>
    <mergeCell ref="B3:G3"/>
    <mergeCell ref="B6:G6"/>
    <mergeCell ref="D8:G8"/>
    <mergeCell ref="D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showGridLines="0" topLeftCell="A6" zoomScaleNormal="100" workbookViewId="0">
      <selection activeCell="F24" sqref="F24"/>
    </sheetView>
  </sheetViews>
  <sheetFormatPr baseColWidth="10" defaultColWidth="8.6640625" defaultRowHeight="15" x14ac:dyDescent="0.2"/>
  <cols>
    <col min="1" max="1" width="3" customWidth="1"/>
    <col min="2" max="2" width="22" customWidth="1"/>
    <col min="3" max="3" width="18" customWidth="1"/>
    <col min="4" max="4" width="14" customWidth="1"/>
    <col min="5" max="5" width="20" customWidth="1"/>
    <col min="6" max="6" width="30" customWidth="1"/>
    <col min="7" max="7" width="3" customWidth="1"/>
  </cols>
  <sheetData>
    <row r="1" spans="1:7" x14ac:dyDescent="0.2">
      <c r="A1" s="14"/>
      <c r="B1" s="14"/>
      <c r="C1" s="14"/>
      <c r="D1" s="14"/>
      <c r="E1" s="14"/>
      <c r="F1" s="14"/>
      <c r="G1" s="14"/>
    </row>
    <row r="2" spans="1:7" ht="18" x14ac:dyDescent="0.2">
      <c r="A2" s="14"/>
      <c r="B2" s="4" t="s">
        <v>355</v>
      </c>
      <c r="C2" s="4"/>
      <c r="D2" s="4"/>
      <c r="E2" s="4"/>
      <c r="F2" s="4"/>
      <c r="G2" s="14"/>
    </row>
    <row r="3" spans="1:7" x14ac:dyDescent="0.2">
      <c r="A3" s="14"/>
      <c r="B3" s="3" t="s">
        <v>356</v>
      </c>
      <c r="C3" s="3"/>
      <c r="D3" s="3"/>
      <c r="E3" s="3"/>
      <c r="F3" s="3"/>
      <c r="G3" s="14"/>
    </row>
    <row r="4" spans="1:7" x14ac:dyDescent="0.2">
      <c r="A4" s="14"/>
      <c r="B4" s="14"/>
      <c r="C4" s="14"/>
      <c r="D4" s="14"/>
      <c r="E4" s="14"/>
      <c r="F4" s="14"/>
      <c r="G4" s="14"/>
    </row>
    <row r="6" spans="1:7" x14ac:dyDescent="0.2">
      <c r="B6" s="2" t="s">
        <v>357</v>
      </c>
      <c r="C6" s="2"/>
      <c r="D6" s="2"/>
      <c r="E6" s="2"/>
      <c r="F6" s="2"/>
    </row>
    <row r="7" spans="1:7" x14ac:dyDescent="0.2">
      <c r="B7" s="15" t="s">
        <v>358</v>
      </c>
      <c r="C7" s="15" t="s">
        <v>359</v>
      </c>
      <c r="D7" s="15" t="s">
        <v>360</v>
      </c>
      <c r="E7" s="15" t="s">
        <v>361</v>
      </c>
      <c r="F7" s="15" t="s">
        <v>362</v>
      </c>
    </row>
    <row r="8" spans="1:7" ht="43.5" customHeight="1" x14ac:dyDescent="0.2">
      <c r="B8" s="59" t="s">
        <v>363</v>
      </c>
      <c r="C8" s="60" t="s">
        <v>364</v>
      </c>
      <c r="D8" s="77" t="s">
        <v>365</v>
      </c>
      <c r="E8" s="60" t="s">
        <v>366</v>
      </c>
      <c r="F8" s="62" t="s">
        <v>367</v>
      </c>
    </row>
    <row r="9" spans="1:7" ht="43.5" customHeight="1" x14ac:dyDescent="0.2">
      <c r="B9" s="63" t="s">
        <v>368</v>
      </c>
      <c r="C9" s="64" t="s">
        <v>369</v>
      </c>
      <c r="D9" s="78" t="s">
        <v>370</v>
      </c>
      <c r="E9" s="64" t="s">
        <v>371</v>
      </c>
      <c r="F9" s="66" t="s">
        <v>372</v>
      </c>
    </row>
    <row r="10" spans="1:7" ht="43.5" customHeight="1" x14ac:dyDescent="0.2">
      <c r="B10" s="59" t="s">
        <v>373</v>
      </c>
      <c r="C10" s="60" t="s">
        <v>374</v>
      </c>
      <c r="D10" s="78" t="s">
        <v>370</v>
      </c>
      <c r="E10" s="60" t="s">
        <v>375</v>
      </c>
      <c r="F10" s="62" t="s">
        <v>376</v>
      </c>
    </row>
    <row r="11" spans="1:7" ht="43.5" customHeight="1" x14ac:dyDescent="0.2">
      <c r="B11" s="63" t="s">
        <v>377</v>
      </c>
      <c r="C11" s="64" t="s">
        <v>378</v>
      </c>
      <c r="D11" s="77" t="s">
        <v>379</v>
      </c>
      <c r="E11" s="64" t="s">
        <v>380</v>
      </c>
      <c r="F11" s="66" t="s">
        <v>381</v>
      </c>
    </row>
    <row r="12" spans="1:7" ht="43.5" customHeight="1" x14ac:dyDescent="0.2">
      <c r="B12" s="59" t="s">
        <v>382</v>
      </c>
      <c r="C12" s="60" t="s">
        <v>383</v>
      </c>
      <c r="D12" s="77" t="s">
        <v>379</v>
      </c>
      <c r="E12" s="60" t="s">
        <v>384</v>
      </c>
      <c r="F12" s="62" t="s">
        <v>385</v>
      </c>
    </row>
    <row r="13" spans="1:7" ht="43.5" customHeight="1" x14ac:dyDescent="0.2">
      <c r="B13" s="63" t="s">
        <v>386</v>
      </c>
      <c r="C13" s="64" t="s">
        <v>387</v>
      </c>
      <c r="D13" s="79" t="s">
        <v>388</v>
      </c>
      <c r="E13" s="64" t="s">
        <v>389</v>
      </c>
      <c r="F13" s="66" t="s">
        <v>390</v>
      </c>
    </row>
    <row r="14" spans="1:7" ht="43.5" customHeight="1" x14ac:dyDescent="0.2">
      <c r="B14" s="59" t="s">
        <v>391</v>
      </c>
      <c r="C14" s="60" t="s">
        <v>392</v>
      </c>
      <c r="D14" s="77" t="s">
        <v>379</v>
      </c>
      <c r="E14" s="60" t="s">
        <v>393</v>
      </c>
      <c r="F14" s="62" t="s">
        <v>394</v>
      </c>
    </row>
    <row r="17" spans="2:6" x14ac:dyDescent="0.2">
      <c r="B17" s="2" t="s">
        <v>395</v>
      </c>
      <c r="C17" s="2"/>
      <c r="D17" s="2"/>
      <c r="E17" s="2"/>
      <c r="F17" s="2"/>
    </row>
    <row r="18" spans="2:6" x14ac:dyDescent="0.2">
      <c r="B18" s="15" t="s">
        <v>143</v>
      </c>
      <c r="C18" s="15" t="s">
        <v>142</v>
      </c>
      <c r="D18" s="15" t="s">
        <v>396</v>
      </c>
      <c r="E18" s="15" t="s">
        <v>359</v>
      </c>
      <c r="F18" s="15" t="s">
        <v>397</v>
      </c>
    </row>
    <row r="19" spans="2:6" ht="27.75" customHeight="1" x14ac:dyDescent="0.2">
      <c r="B19" s="20" t="s">
        <v>398</v>
      </c>
      <c r="C19" s="80" t="s">
        <v>399</v>
      </c>
      <c r="D19" s="60" t="s">
        <v>400</v>
      </c>
      <c r="E19" s="60" t="s">
        <v>401</v>
      </c>
      <c r="F19" s="81" t="s">
        <v>431</v>
      </c>
    </row>
    <row r="20" spans="2:6" ht="27.75" customHeight="1" x14ac:dyDescent="0.2">
      <c r="B20" s="24" t="s">
        <v>402</v>
      </c>
      <c r="C20" s="82" t="s">
        <v>403</v>
      </c>
      <c r="D20" s="64" t="s">
        <v>404</v>
      </c>
      <c r="E20" s="64" t="s">
        <v>392</v>
      </c>
      <c r="F20" s="83" t="s">
        <v>432</v>
      </c>
    </row>
    <row r="21" spans="2:6" ht="27.75" customHeight="1" x14ac:dyDescent="0.2">
      <c r="B21" s="20" t="s">
        <v>252</v>
      </c>
      <c r="C21" s="80" t="s">
        <v>405</v>
      </c>
      <c r="D21" s="60" t="s">
        <v>406</v>
      </c>
      <c r="E21" s="60" t="s">
        <v>392</v>
      </c>
      <c r="F21" s="81" t="s">
        <v>431</v>
      </c>
    </row>
    <row r="22" spans="2:6" ht="27.75" customHeight="1" x14ac:dyDescent="0.2">
      <c r="B22" s="24" t="s">
        <v>407</v>
      </c>
      <c r="C22" s="82" t="s">
        <v>408</v>
      </c>
      <c r="D22" s="64" t="s">
        <v>409</v>
      </c>
      <c r="E22" s="64" t="s">
        <v>387</v>
      </c>
      <c r="F22" s="81" t="s">
        <v>431</v>
      </c>
    </row>
    <row r="23" spans="2:6" ht="27.75" customHeight="1" x14ac:dyDescent="0.2">
      <c r="B23" s="20" t="s">
        <v>410</v>
      </c>
      <c r="C23" s="80" t="s">
        <v>411</v>
      </c>
      <c r="D23" s="60" t="s">
        <v>412</v>
      </c>
      <c r="E23" s="60" t="s">
        <v>383</v>
      </c>
      <c r="F23" s="83" t="s">
        <v>432</v>
      </c>
    </row>
    <row r="24" spans="2:6" ht="27.75" customHeight="1" x14ac:dyDescent="0.2">
      <c r="B24" s="24" t="s">
        <v>255</v>
      </c>
      <c r="C24" s="82" t="s">
        <v>413</v>
      </c>
      <c r="D24" s="64" t="s">
        <v>414</v>
      </c>
      <c r="E24" s="64" t="s">
        <v>387</v>
      </c>
      <c r="F24" s="81" t="s">
        <v>431</v>
      </c>
    </row>
    <row r="25" spans="2:6" ht="27.75" customHeight="1" x14ac:dyDescent="0.2">
      <c r="B25" s="20" t="s">
        <v>415</v>
      </c>
      <c r="C25" s="80" t="s">
        <v>416</v>
      </c>
      <c r="D25" s="60" t="s">
        <v>417</v>
      </c>
      <c r="E25" s="60" t="s">
        <v>392</v>
      </c>
      <c r="F25" s="81" t="s">
        <v>431</v>
      </c>
    </row>
    <row r="26" spans="2:6" ht="27.75" customHeight="1" x14ac:dyDescent="0.2">
      <c r="B26" s="24" t="s">
        <v>418</v>
      </c>
      <c r="C26" s="82" t="s">
        <v>419</v>
      </c>
      <c r="D26" s="64" t="s">
        <v>420</v>
      </c>
      <c r="E26" s="64" t="s">
        <v>364</v>
      </c>
      <c r="F26" s="81" t="s">
        <v>431</v>
      </c>
    </row>
    <row r="27" spans="2:6" ht="27.75" customHeight="1" x14ac:dyDescent="0.2">
      <c r="B27" s="20" t="s">
        <v>421</v>
      </c>
      <c r="C27" s="80" t="s">
        <v>422</v>
      </c>
      <c r="D27" s="60" t="s">
        <v>423</v>
      </c>
      <c r="E27" s="60" t="s">
        <v>369</v>
      </c>
      <c r="F27" s="81" t="s">
        <v>431</v>
      </c>
    </row>
  </sheetData>
  <mergeCells count="4">
    <mergeCell ref="B2:F2"/>
    <mergeCell ref="B3:F3"/>
    <mergeCell ref="B6:F6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Risk &amp; Return</vt:lpstr>
      <vt:lpstr>Correlation</vt:lpstr>
      <vt:lpstr>On-Chain Metrics</vt:lpstr>
      <vt:lpstr>IFRS Accounting</vt:lpstr>
      <vt:lpstr>Regulatory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BitcoinDigitalAnalysis </dc:title>
  <dc:subject/>
  <dc:creator>VatsalChavda</dc:creator>
  <cp:keywords/>
  <dc:description/>
  <cp:lastModifiedBy>Vatsal Maheshbhai Chavda</cp:lastModifiedBy>
  <cp:revision>1</cp:revision>
  <dcterms:created xsi:type="dcterms:W3CDTF">2026-03-03T21:54:37Z</dcterms:created>
  <dcterms:modified xsi:type="dcterms:W3CDTF">2026-03-03T22:12:19Z</dcterms:modified>
  <cp:category/>
  <dc:language>en-US</dc:language>
</cp:coreProperties>
</file>