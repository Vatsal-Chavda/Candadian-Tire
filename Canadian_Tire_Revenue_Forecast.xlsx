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vatsalchavda/Desktop/ExcelGHub/"/>
    </mc:Choice>
  </mc:AlternateContent>
  <xr:revisionPtr revIDLastSave="0" documentId="8_{99BD9625-F1B0-1141-9B1A-D7B888074F42}" xr6:coauthVersionLast="47" xr6:coauthVersionMax="47" xr10:uidLastSave="{00000000-0000-0000-0000-000000000000}"/>
  <bookViews>
    <workbookView xWindow="0" yWindow="720" windowWidth="29400" windowHeight="18400" activeTab="4" xr2:uid="{00000000-000D-0000-FFFF-FFFF00000000}"/>
  </bookViews>
  <sheets>
    <sheet name="1_Data_and_Calculations" sheetId="1" r:id="rId1"/>
    <sheet name="2_Seasonality_Analysis" sheetId="2" r:id="rId2"/>
    <sheet name="3_Forecast_Methodology" sheetId="3" r:id="rId3"/>
    <sheet name="4_Model_Validation" sheetId="4" r:id="rId4"/>
    <sheet name="5_Executive_Summary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B19" i="4" l="1"/>
  <c r="F6" i="2"/>
  <c r="F27" i="1"/>
  <c r="F39" i="1"/>
  <c r="B23" i="4"/>
  <c r="G14" i="4"/>
  <c r="D14" i="4"/>
  <c r="G13" i="4"/>
  <c r="D13" i="4"/>
  <c r="G12" i="4"/>
  <c r="D12" i="4"/>
  <c r="G11" i="4"/>
  <c r="D11" i="4"/>
  <c r="G31" i="3"/>
  <c r="D31" i="3"/>
  <c r="G30" i="3"/>
  <c r="D30" i="3"/>
  <c r="G29" i="3"/>
  <c r="D29" i="3"/>
  <c r="G28" i="3"/>
  <c r="D28" i="3"/>
  <c r="B14" i="3"/>
  <c r="B6" i="3"/>
  <c r="D20" i="2"/>
  <c r="D19" i="2"/>
  <c r="D17" i="2"/>
  <c r="D12" i="2"/>
  <c r="F9" i="2"/>
  <c r="F8" i="2"/>
  <c r="F7" i="2"/>
  <c r="H65" i="1"/>
  <c r="H64" i="1"/>
  <c r="H63" i="1"/>
  <c r="H62" i="1"/>
  <c r="H61" i="1"/>
  <c r="H60" i="1"/>
  <c r="H59" i="1"/>
  <c r="H58" i="1"/>
  <c r="H57" i="1"/>
  <c r="F49" i="1"/>
  <c r="F48" i="1"/>
  <c r="F47" i="1"/>
  <c r="F46" i="1"/>
  <c r="F45" i="1"/>
  <c r="F44" i="1"/>
  <c r="F43" i="1"/>
  <c r="F42" i="1"/>
  <c r="F41" i="1"/>
  <c r="F40" i="1"/>
  <c r="F33" i="1"/>
  <c r="F32" i="1"/>
  <c r="F31" i="1"/>
  <c r="F30" i="1"/>
  <c r="F29" i="1"/>
  <c r="F28" i="1"/>
  <c r="F26" i="1"/>
</calcChain>
</file>

<file path=xl/sharedStrings.xml><?xml version="1.0" encoding="utf-8"?>
<sst xmlns="http://schemas.openxmlformats.org/spreadsheetml/2006/main" count="359" uniqueCount="219">
  <si>
    <t>CANADIAN TIRE REVENUE DATA &amp; GROWTH CALCULATIONS</t>
  </si>
  <si>
    <t>Data Source: Canadian Tire Investor Relations (https://corp.canadiantire.ca/en/investors)</t>
  </si>
  <si>
    <t>SECTION 1: HISTORICAL REVENUE DATA</t>
  </si>
  <si>
    <t>Row</t>
  </si>
  <si>
    <t>Quarter</t>
  </si>
  <si>
    <t>Year</t>
  </si>
  <si>
    <t>Quarter-Year</t>
  </si>
  <si>
    <t>Revenue
(Millions CAD)</t>
  </si>
  <si>
    <t>Data Source</t>
  </si>
  <si>
    <t>Q1</t>
  </si>
  <si>
    <t>Q1 2022</t>
  </si>
  <si>
    <t>Quarterly Report</t>
  </si>
  <si>
    <t>Q2</t>
  </si>
  <si>
    <t>Q2 2022</t>
  </si>
  <si>
    <t>Q3</t>
  </si>
  <si>
    <t>Q3 2022</t>
  </si>
  <si>
    <t>Q4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</si>
  <si>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</si>
  <si>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</si>
  <si>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</si>
  <si>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</si>
  <si>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</si>
  <si>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</si>
  <si>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</si>
  <si>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</si>
  <si>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</si>
  <si>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SECTION 2: YEAR-OVER-YEAR (YoY) GROWTH % CALCULATIONS</t>
  </si>
  <si>
    <t>Formula: YoY Growth % = ((Current Quarter Revenue - Same Quarter Last Year) / Same Quarter Last Year) × 100</t>
  </si>
  <si>
    <t>Revenue
(Current)</t>
  </si>
  <si>
    <t>Revenue
(Year Ago)</t>
  </si>
  <si>
    <t>Calculation</t>
  </si>
  <si>
    <t>YoY Growth %</t>
  </si>
  <si>
    <t>N/A</t>
  </si>
  <si>
    <t>Need 4 quarters of data</t>
  </si>
  <si>
    <t>SECTION 3: QUARTER-OVER-QUARTER (QoQ) GROWTH % CALCULATIONS</t>
  </si>
  <si>
    <t>Formula: QoQ Growth % = ((Current Quarter Revenue - Previous Quarter Revenue) / Previous Quarter Revenue) × 100</t>
  </si>
  <si>
    <t>Revenue
(Previous Qtr)</t>
  </si>
  <si>
    <t>QoQ Growth %</t>
  </si>
  <si>
    <t>First quarter</t>
  </si>
  <si>
    <t>SECTION 4: 4-QUARTER MOVING AVERAGE CALCULATIONS</t>
  </si>
  <si>
    <t>Formula: 4Q Moving Avg = (Q-3 + Q-2 + Q-1 + Q0) / 4</t>
  </si>
  <si>
    <t>Q-3</t>
  </si>
  <si>
    <t>Q-2</t>
  </si>
  <si>
    <t>Q-1</t>
  </si>
  <si>
    <t>Q0
(Current)</t>
  </si>
  <si>
    <t>4Q Moving Avg</t>
  </si>
  <si>
    <t>Need 4 quarters</t>
  </si>
  <si>
    <t>SEASONALITY ANALYSIS - DETAILED CALCULATIONS</t>
  </si>
  <si>
    <t>This analysis identifies quarterly revenue patterns to understand seasonal trends</t>
  </si>
  <si>
    <t>STEP 1: EXTRACT ALL Q1, Q2, Q3, Q4 VALUES</t>
  </si>
  <si>
    <t>Quarter Type</t>
  </si>
  <si>
    <t>2022 Value</t>
  </si>
  <si>
    <t>2023 Value</t>
  </si>
  <si>
    <t>2024 Value</t>
  </si>
  <si>
    <t>Average</t>
  </si>
  <si>
    <t>Calculation for Average</t>
  </si>
  <si>
    <t>STEP 2: CALCULATE OVERALL QUARTERLY AVERAGE</t>
  </si>
  <si>
    <t>Overall Average:</t>
  </si>
  <si>
    <t>Calculation:</t>
  </si>
  <si>
    <t>STEP 3: CALCULATE SEASONALITY INDEX FOR EACH QUARTER</t>
  </si>
  <si>
    <t>Formula: Seasonality Index = (Quarter Average / Overall Average) × 100</t>
  </si>
  <si>
    <t>Quarter Avg</t>
  </si>
  <si>
    <t>Overall Avg</t>
  </si>
  <si>
    <t>Seasonality Index</t>
  </si>
  <si>
    <t>Interpretation</t>
  </si>
  <si>
    <t>88.7%</t>
  </si>
  <si>
    <t>Below average by 11.3%</t>
  </si>
  <si>
    <t>103.2%</t>
  </si>
  <si>
    <t>Above average by 3.2%</t>
  </si>
  <si>
    <t>100.0%</t>
  </si>
  <si>
    <t>Above average by 0.0%</t>
  </si>
  <si>
    <t>108.1%</t>
  </si>
  <si>
    <t>Above average by 8.1%</t>
  </si>
  <si>
    <t>KEY INSIGHTS:</t>
  </si>
  <si>
    <t>• Q4 is the STRONGEST quarter (108.1% index) - Holiday shopping season</t>
  </si>
  <si>
    <t>• Q1 is the WEAKEST quarter (88.7% index) - Post-holiday decline</t>
  </si>
  <si>
    <t>• Q2 and Q3 are near average with slight variations</t>
  </si>
  <si>
    <t>• This pattern is consistent across 2022-2024, validating the seasonality model</t>
  </si>
  <si>
    <t>2025 REVENUE FORECAST - THREE METHODOLOGIES</t>
  </si>
  <si>
    <t>METHOD 1: SIMPLE MOVING AVERAGE</t>
  </si>
  <si>
    <t>Formula: Forecast = Average of Last 4 Quarters</t>
  </si>
  <si>
    <t>Last 4 Quarters:</t>
  </si>
  <si>
    <t>Q1 2024: 3332.8</t>
  </si>
  <si>
    <t>Q2 2024: 3995.4</t>
  </si>
  <si>
    <t>Q3 2024: 3987.0</t>
  </si>
  <si>
    <t>Q4 2024: 4200.8</t>
  </si>
  <si>
    <t>Forecast for ALL 2025 quarters:</t>
  </si>
  <si>
    <t>METHOD 2: WEIGHTED MOVING AVERAGE</t>
  </si>
  <si>
    <t>Formula: Forecast = (Q-3 × 10%) + (Q-2 × 20%) + (Q-1 × 30%) + (Q0 × 40%)</t>
  </si>
  <si>
    <t>Weights give more importance to recent quarters</t>
  </si>
  <si>
    <t>Last 4 Quarters with Weights:</t>
  </si>
  <si>
    <t>Q1 2024: 3332.8 × 10% = 333.3</t>
  </si>
  <si>
    <t>Q2 2024: 3995.4 × 20% = 799.1</t>
  </si>
  <si>
    <t>Q3 2024: 3987.0 × 30% = 1196.1</t>
  </si>
  <si>
    <t>Q4 2024: 4200.8 × 40% = 1680.3</t>
  </si>
  <si>
    <t>METHOD 3: TREND + SEASONALITY (RECOMMENDED)</t>
  </si>
  <si>
    <t>Formula: Forecast = Linear Trend Value × Seasonal Index</t>
  </si>
  <si>
    <t>Step 1: Calculate Linear Trend</t>
  </si>
  <si>
    <t>Trend Formula:</t>
  </si>
  <si>
    <t>Revenue = 4073.82 + (-8.82 × Quarter Number)</t>
  </si>
  <si>
    <t>Where slope = -8.82 (revenue change per quarter)</t>
  </si>
  <si>
    <t>And intercept = 4073.82 (baseline revenue)</t>
  </si>
  <si>
    <t>Step 2: Apply Seasonality to Each Quarter Forecast</t>
  </si>
  <si>
    <t>Quarter #</t>
  </si>
  <si>
    <t>Trend Value
Calculation</t>
  </si>
  <si>
    <t>Trend Value</t>
  </si>
  <si>
    <t>Seasonal
Index</t>
  </si>
  <si>
    <t>Final Forecast
Calculation</t>
  </si>
  <si>
    <t>Final Forecast
(Method 3)</t>
  </si>
  <si>
    <t>Low Est
(-5%)</t>
  </si>
  <si>
    <t>High Est
(+5%)</t>
  </si>
  <si>
    <t>SUMMARY: 2025 FORECAST COMPARISON</t>
  </si>
  <si>
    <t>Method</t>
  </si>
  <si>
    <t>Q1 2025</t>
  </si>
  <si>
    <t>Q2 2025</t>
  </si>
  <si>
    <t>Q3 2025</t>
  </si>
  <si>
    <t>Q4 2025</t>
  </si>
  <si>
    <t>Total 2025</t>
  </si>
  <si>
    <t>Notes</t>
  </si>
  <si>
    <t>Method 1: Simple MA</t>
  </si>
  <si>
    <t>Same for all quarters</t>
  </si>
  <si>
    <t>Method 2: Weighted MA</t>
  </si>
  <si>
    <t>Method 3: Trend+Season ★</t>
  </si>
  <si>
    <t>RECOMMENDED - Accounts for seasonality</t>
  </si>
  <si>
    <t>WHY METHOD 3 IS RECOMMENDED:</t>
  </si>
  <si>
    <t>✓ Captures long-term trend (revenue growing/declining over time)</t>
  </si>
  <si>
    <t>✓ Adjusts for seasonality (Q4 holiday spike, Q1 post-holiday decline)</t>
  </si>
  <si>
    <t>✓ More accurate than simple averages which ignore quarterly patterns</t>
  </si>
  <si>
    <t>✓ Validated with 91.8% accuracy on 2024 actual data (see Validation sheet)</t>
  </si>
  <si>
    <t>MODEL VALIDATION - BACKTESTING ON 2024 DATA</t>
  </si>
  <si>
    <t>Testing Model Accuracy: Use 2022-2023 data to forecast 2024, then compare to actual 2024 results</t>
  </si>
  <si>
    <t>STEP 1: BUILD MODEL USING ONLY 2022-2023 DATA (8 Quarters)</t>
  </si>
  <si>
    <t>Training Trend Formula:</t>
  </si>
  <si>
    <t>Revenue = 4005.84 + (17.65 × Quarter Number)</t>
  </si>
  <si>
    <t>Based on 8 quarters from Q1 2022 to Q4 2023</t>
  </si>
  <si>
    <t>STEP 2: FORECAST 2024 QUARTERS USING THIS MODEL</t>
  </si>
  <si>
    <t>Trend
Calculation</t>
  </si>
  <si>
    <t>Trend
Value</t>
  </si>
  <si>
    <t>Forecast
Calculation</t>
  </si>
  <si>
    <t>Forecast</t>
  </si>
  <si>
    <t>Actual
2024</t>
  </si>
  <si>
    <t>Error</t>
  </si>
  <si>
    <t>|Error|</t>
  </si>
  <si>
    <t>Error %</t>
  </si>
  <si>
    <t>10.89%</t>
  </si>
  <si>
    <t>8.02%</t>
  </si>
  <si>
    <t>5.35%</t>
  </si>
  <si>
    <t>8.5%</t>
  </si>
  <si>
    <t>STEP 3: CALCULATE MODEL ACCURACY METRICS</t>
  </si>
  <si>
    <t>1. MAPE (Mean Absolute Percentage Error):</t>
  </si>
  <si>
    <t>Formula:</t>
  </si>
  <si>
    <t>MAPE =</t>
  </si>
  <si>
    <t>2. MODEL ACCURACY:</t>
  </si>
  <si>
    <t>ACCURACY =</t>
  </si>
  <si>
    <t>91.8%</t>
  </si>
  <si>
    <t>3. RMSE (Root Mean Square Error):</t>
  </si>
  <si>
    <t>RMSE =</t>
  </si>
  <si>
    <t>$319.1M</t>
  </si>
  <si>
    <t>INTERPRETATION:</t>
  </si>
  <si>
    <t>✓ The model achieved 91.8% accuracy when tested on unseen 2024 data</t>
  </si>
  <si>
    <t>✓ On average, forecasts were off by only 8.2%</t>
  </si>
  <si>
    <t>✓ RMSE of $319.1M means typical forecast error is about 8.0% of quarterly revenue</t>
  </si>
  <si>
    <t>✓ This validates the model is reliable for forecasting 2025</t>
  </si>
  <si>
    <t>WHY IS THIS IMPORTANT?</t>
  </si>
  <si>
    <t>• We didn't just build a model - we TESTED it on real data the model hadn't seen</t>
  </si>
  <si>
    <t>• This proves the 2025 forecasts are based on a validated, accurate methodology</t>
  </si>
  <si>
    <t>• 91.8% accuracy is excellent for business forecasting purposes</t>
  </si>
  <si>
    <t>EXECUTIVE SUMMARY - CANADIAN TIRE 2025 REVENUE FORECAST</t>
  </si>
  <si>
    <t>Project by: Vatsal Chavda | Financial Planning &amp; Analysis</t>
  </si>
  <si>
    <t>KEY RESULTS</t>
  </si>
  <si>
    <t>Metric</t>
  </si>
  <si>
    <t>Value</t>
  </si>
  <si>
    <t>Significance</t>
  </si>
  <si>
    <t>Model Accuracy (Validated)</t>
  </si>
  <si>
    <t>Backtested on actual 2024 data</t>
  </si>
  <si>
    <t>2025 Total Revenue Forecast</t>
  </si>
  <si>
    <t>$15781.4M CAD</t>
  </si>
  <si>
    <t>Sum of Q1-Q4 forecasts</t>
  </si>
  <si>
    <t>YoY Growth (2025 vs 2024)</t>
  </si>
  <si>
    <t>+1.7%</t>
  </si>
  <si>
    <t>Modest growth indicates mature market</t>
  </si>
  <si>
    <t>Strongest Quarter</t>
  </si>
  <si>
    <t>Q4: $4249.9M</t>
  </si>
  <si>
    <t>113.6% of quarterly average</t>
  </si>
  <si>
    <t>Weakest Quarter</t>
  </si>
  <si>
    <t>Q1: $3513.3M</t>
  </si>
  <si>
    <t>86.7% of quarterly average</t>
  </si>
  <si>
    <t>2025 QUARTERLY FORECAST BREAKDOWN</t>
  </si>
  <si>
    <t>Forecast (M CAD)</t>
  </si>
  <si>
    <t>Low Estimate</t>
  </si>
  <si>
    <t>High Estimate</t>
  </si>
  <si>
    <t>YoY vs 2024</t>
  </si>
  <si>
    <t>5.4%</t>
  </si>
  <si>
    <t>2.0%</t>
  </si>
  <si>
    <t>-1.1%</t>
  </si>
  <si>
    <t>1.2%</t>
  </si>
  <si>
    <t>METHODOLOGY</t>
  </si>
  <si>
    <t>Data:</t>
  </si>
  <si>
    <t>12 quarters of Canadian Tire revenue (Q1 2022 - Q4 2024) = $47.8B total</t>
  </si>
  <si>
    <t>Approach:</t>
  </si>
  <si>
    <t>Linear regression trend + seasonal decomposition (weighted by quarter patterns)</t>
  </si>
  <si>
    <t>Validation:</t>
  </si>
  <si>
    <t>Backtested on 2024 data using only 2022-2023 for training → 91.8% accuracy</t>
  </si>
  <si>
    <t>BUSINESS INSIGHTS &amp; RECOMMENDATIONS</t>
  </si>
  <si>
    <t xml:space="preserve">  → Recommendation: Increase inventory 30-40% in Q3, maximize Q4 staffing</t>
  </si>
  <si>
    <t xml:space="preserve">  → Recommendation: Reduce fixed costs in Q1, plan promotions to boost traffic</t>
  </si>
  <si>
    <t xml:space="preserve">  → Recommendation: Focus on margin optimization and operational efficiency</t>
  </si>
  <si>
    <t xml:space="preserve">  → Recommendation: Use low estimate for conservative budgeting, high for stretch goals</t>
  </si>
  <si>
    <t>TECHNICAL SKILLS DEMONSTRATED</t>
  </si>
  <si>
    <t>• Financial Modeling: Trend analysis, seasonal decomposition, confidence intervals</t>
  </si>
  <si>
    <t>• Data Analysis: 12 quarters, $47.8B revenue, YoY/QoQ growth calculations</t>
  </si>
  <si>
    <t>• Statistical Methods: Linear regression, MAPE, RMSE, backtesting validation</t>
  </si>
  <si>
    <t>• Tools: Microsoft Excel (advanced), Python (pandas, scikit-learn, NumPy)</t>
  </si>
  <si>
    <t>• Business Acumen: Revenue forecasting, variance analysis, strategic recommendations</t>
  </si>
  <si>
    <t>Contact: vatsalchavda7@gmail.com | +1(647)299-1869</t>
  </si>
  <si>
    <t>Weak Q1 Performance: Revenue 13.3% below average post-holiday</t>
  </si>
  <si>
    <t>Strong Q4 Seasonality: Revenue 13.6% above average due to holiday shopping</t>
  </si>
  <si>
    <t>Modest 1.7% Growth: Indicates mature market, not aggressive expansion</t>
  </si>
  <si>
    <t>Forecast Range: $14,992M - $16,570M provides planning 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</si>
</sst>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0" fillId="7" borderId="1" xfId="0" applyFill="1" applyBorder="1"/>
    <xf numFmtId="0" fontId="3" fillId="0" borderId="0" xfId="0" applyFont="1"/>
    <xf numFmtId="0" fontId="0" fillId="6" borderId="0" xfId="0" applyFill="1"/>
    <xf numFmtId="0" fontId="6" fillId="7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0" xfId="0" applyFont="1"/>
    <xf numFmtId="0" fontId="8" fillId="8" borderId="0" xfId="0" applyFont="1" applyFill="1"/>
    <xf numFmtId="0" fontId="10" fillId="3" borderId="0" xfId="0" applyFont="1" applyFill="1"/>
    <xf numFmtId="0" fontId="6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/>
    <xf numFmtId="0" fontId="2" fillId="5" borderId="0" xfId="0" applyFont="1" applyFill="1"/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6" borderId="0" xfId="0" applyFill="1" applyAlignment="1">
      <alignment horizontal="left"/>
    </xf>
    <xf numFmtId="0" fontId="0" fillId="6" borderId="0" xfId="0" applyFill="1"/>
    <xf numFmtId="0" fontId="9" fillId="0" borderId="0" xfId="0" applyFont="1" applyAlignment="1">
      <alignment horizontal="center"/>
    </xf>
    <xf numFmtId="10" fontId="6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215900</xdr:colOff>
      <xdr:row>2</xdr:row>
      <xdr:rowOff>139700</xdr:rowOff>
    </xdr:from>
    <xdr:to>
      <xdr:col>7</xdr:col>
      <xdr:colOff>1155700</xdr:colOff>
      <xdr:row>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F5FB9-D090-4894-81E3-7D58FD86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571500"/>
          <a:ext cx="2006600" cy="146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opLeftCell="A22" workbookViewId="0">
      <selection activeCell="H18" sqref="H18"/>
    </sheetView>
  </sheetViews>
  <sheetFormatPr baseColWidth="10" defaultColWidth="8.83203125" defaultRowHeight="15" x14ac:dyDescent="0.2"/>
  <cols>
    <col min="1" max="1" width="32.6640625" customWidth="1"/>
    <col min="2" max="2" width="10" customWidth="1"/>
    <col min="3" max="3" width="8" customWidth="1"/>
    <col min="4" max="5" width="14" customWidth="1"/>
    <col min="6" max="6" width="35" customWidth="1"/>
    <col min="7" max="7" width="14" customWidth="1"/>
    <col min="8" max="8" width="35" customWidth="1"/>
    <col min="9" max="9" width="16" customWidth="1"/>
    <col min="10" max="11" width="14" customWidth="1"/>
  </cols>
  <sheetData>
    <row r="1" spans="1:11" ht="19" x14ac:dyDescent="0.2">
      <c r="A1" s="26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">
      <c r="A2" s="25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4" spans="1:11" x14ac:dyDescent="0.2">
      <c r="A4" s="1" t="s">
        <v>2</v>
      </c>
    </row>
    <row r="5" spans="1:11" ht="30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11" x14ac:dyDescent="0.2">
      <c r="A6" s="3">
        <v>1</v>
      </c>
      <c r="B6" s="3" t="s">
        <v>9</v>
      </c>
      <c r="C6" s="3">
        <v>2022</v>
      </c>
      <c r="D6" s="3" t="s">
        <v>10</v>
      </c>
      <c r="E6" s="3">
        <v>3721.4</v>
      </c>
      <c r="F6" s="3" t="s">
        <v>11</v>
      </c>
    </row>
    <row r="7" spans="1:11" x14ac:dyDescent="0.2">
      <c r="A7" s="3">
        <v>2</v>
      </c>
      <c r="B7" s="3" t="s">
        <v>12</v>
      </c>
      <c r="C7" s="3">
        <v>2022</v>
      </c>
      <c r="D7" s="3" t="s">
        <v>13</v>
      </c>
      <c r="E7" s="3">
        <v>4252.1000000000004</v>
      </c>
      <c r="F7" s="3" t="s">
        <v>11</v>
      </c>
    </row>
    <row r="8" spans="1:11" x14ac:dyDescent="0.2">
      <c r="A8" s="3">
        <v>3</v>
      </c>
      <c r="B8" s="3" t="s">
        <v>14</v>
      </c>
      <c r="C8" s="3">
        <v>2022</v>
      </c>
      <c r="D8" s="3" t="s">
        <v>15</v>
      </c>
      <c r="E8" s="3">
        <v>4031.5</v>
      </c>
      <c r="F8" s="3" t="s">
        <v>11</v>
      </c>
    </row>
    <row r="9" spans="1:11" x14ac:dyDescent="0.2">
      <c r="A9" s="3">
        <v>4</v>
      </c>
      <c r="B9" s="3" t="s">
        <v>16</v>
      </c>
      <c r="C9" s="3">
        <v>2022</v>
      </c>
      <c r="D9" s="3" t="s">
        <v>17</v>
      </c>
      <c r="E9" s="3">
        <v>4651.5</v>
      </c>
      <c r="F9" s="3" t="s">
        <v>11</v>
      </c>
    </row>
    <row r="10" spans="1:11" x14ac:dyDescent="0.2">
      <c r="A10" s="3">
        <v>5</v>
      </c>
      <c r="B10" s="3" t="s">
        <v>9</v>
      </c>
      <c r="C10" s="3">
        <v>2023</v>
      </c>
      <c r="D10" s="3" t="s">
        <v>18</v>
      </c>
      <c r="E10" s="3">
        <v>3638.2</v>
      </c>
      <c r="F10" s="3" t="s">
        <v>11</v>
      </c>
    </row>
    <row r="11" spans="1:11" x14ac:dyDescent="0.2">
      <c r="A11" s="3">
        <v>6</v>
      </c>
      <c r="B11" s="3" t="s">
        <v>12</v>
      </c>
      <c r="C11" s="3">
        <v>2023</v>
      </c>
      <c r="D11" s="3" t="s">
        <v>19</v>
      </c>
      <c r="E11" s="3">
        <v>4186.8999999999996</v>
      </c>
      <c r="F11" s="3" t="s">
        <v>11</v>
      </c>
    </row>
    <row r="12" spans="1:11" x14ac:dyDescent="0.2">
      <c r="A12" s="3">
        <v>7</v>
      </c>
      <c r="B12" s="3" t="s">
        <v>14</v>
      </c>
      <c r="C12" s="3">
        <v>2023</v>
      </c>
      <c r="D12" s="3" t="s">
        <v>20</v>
      </c>
      <c r="E12" s="3">
        <v>4031.5</v>
      </c>
      <c r="F12" s="3" t="s">
        <v>11</v>
      </c>
    </row>
    <row r="13" spans="1:11" x14ac:dyDescent="0.2">
      <c r="A13" s="3">
        <v>8</v>
      </c>
      <c r="B13" s="3" t="s">
        <v>16</v>
      </c>
      <c r="C13" s="3">
        <v>2023</v>
      </c>
      <c r="D13" s="3" t="s">
        <v>21</v>
      </c>
      <c r="E13" s="3">
        <v>4168.8999999999996</v>
      </c>
      <c r="F13" s="3" t="s">
        <v>11</v>
      </c>
    </row>
    <row r="14" spans="1:11" x14ac:dyDescent="0.2">
      <c r="A14" s="3">
        <v>9</v>
      </c>
      <c r="B14" s="3" t="s">
        <v>9</v>
      </c>
      <c r="C14" s="3">
        <v>2024</v>
      </c>
      <c r="D14" s="3" t="s">
        <v>22</v>
      </c>
      <c r="E14" s="3">
        <v>3332.8</v>
      </c>
      <c r="F14" s="3" t="s">
        <v>11</v>
      </c>
    </row>
    <row r="15" spans="1:11" x14ac:dyDescent="0.2">
      <c r="A15" s="3">
        <v>10</v>
      </c>
      <c r="B15" s="3" t="s">
        <v>12</v>
      </c>
      <c r="C15" s="3">
        <v>2024</v>
      </c>
      <c r="D15" s="3" t="s">
        <v>23</v>
      </c>
      <c r="E15" s="3">
        <v>3995.4</v>
      </c>
      <c r="F15" s="3" t="s">
        <v>11</v>
      </c>
    </row>
    <row r="16" spans="1:11" x14ac:dyDescent="0.2">
      <c r="A16" s="3">
        <v>11</v>
      </c>
      <c r="B16" s="3" t="s">
        <v>14</v>
      </c>
      <c r="C16" s="3">
        <v>2024</v>
      </c>
      <c r="D16" s="3" t="s">
        <v>24</v>
      </c>
      <c r="E16" s="3">
        <v>3987</v>
      </c>
      <c r="F16" s="3" t="s">
        <v>11</v>
      </c>
    </row>
    <row r="17" spans="1:11" x14ac:dyDescent="0.2">
      <c r="A17" s="3">
        <v>12</v>
      </c>
      <c r="B17" s="3" t="s">
        <v>16</v>
      </c>
      <c r="C17" s="3">
        <v>2024</v>
      </c>
      <c r="D17" s="3" t="s">
        <v>25</v>
      </c>
      <c r="E17" s="3">
        <v>4200.8</v>
      </c>
      <c r="F17" s="3" t="s">
        <v>11</v>
      </c>
    </row>
    <row r="19" spans="1:11" x14ac:dyDescent="0.2">
      <c r="A19" s="1" t="s">
        <v>26</v>
      </c>
    </row>
    <row r="20" spans="1:11" x14ac:dyDescent="0.2">
      <c r="A20" s="23" t="s">
        <v>27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1" ht="30" x14ac:dyDescent="0.2">
      <c r="A21" s="2" t="s">
        <v>3</v>
      </c>
      <c r="B21" s="2" t="s">
        <v>4</v>
      </c>
      <c r="C21" s="2" t="s">
        <v>5</v>
      </c>
      <c r="D21" s="2" t="s">
        <v>28</v>
      </c>
      <c r="E21" s="2" t="s">
        <v>29</v>
      </c>
      <c r="F21" s="2" t="s">
        <v>30</v>
      </c>
      <c r="G21" s="2" t="s">
        <v>31</v>
      </c>
    </row>
    <row r="22" spans="1:11" x14ac:dyDescent="0.2">
      <c r="A22" s="3">
        <v>1</v>
      </c>
      <c r="B22" s="3" t="s">
        <v>9</v>
      </c>
      <c r="C22" s="3">
        <v>2022</v>
      </c>
      <c r="D22" s="3">
        <v>3721.4</v>
      </c>
      <c r="E22" s="3" t="s">
        <v>32</v>
      </c>
      <c r="F22" s="3" t="s">
        <v>33</v>
      </c>
      <c r="G22" s="3" t="s">
        <v>32</v>
      </c>
    </row>
    <row r="23" spans="1:11" x14ac:dyDescent="0.2">
      <c r="A23" s="3">
        <v>2</v>
      </c>
      <c r="B23" s="3" t="s">
        <v>12</v>
      </c>
      <c r="C23" s="3">
        <v>2022</v>
      </c>
      <c r="D23" s="3">
        <v>4252.1000000000004</v>
      </c>
      <c r="E23" s="3" t="s">
        <v>32</v>
      </c>
      <c r="F23" s="3" t="s">
        <v>33</v>
      </c>
      <c r="G23" s="3" t="s">
        <v>32</v>
      </c>
    </row>
    <row r="24" spans="1:11" x14ac:dyDescent="0.2">
      <c r="A24" s="3">
        <v>3</v>
      </c>
      <c r="B24" s="3" t="s">
        <v>14</v>
      </c>
      <c r="C24" s="3">
        <v>2022</v>
      </c>
      <c r="D24" s="3">
        <v>4031.5</v>
      </c>
      <c r="E24" s="3" t="s">
        <v>32</v>
      </c>
      <c r="F24" s="3" t="s">
        <v>33</v>
      </c>
      <c r="G24" s="3" t="s">
        <v>32</v>
      </c>
    </row>
    <row r="25" spans="1:11" x14ac:dyDescent="0.2">
      <c r="A25" s="3">
        <v>4</v>
      </c>
      <c r="B25" s="3" t="s">
        <v>16</v>
      </c>
      <c r="C25" s="3">
        <v>2022</v>
      </c>
      <c r="D25" s="3">
        <v>4651.5</v>
      </c>
      <c r="E25" s="3" t="s">
        <v>32</v>
      </c>
      <c r="F25" s="3" t="s">
        <v>33</v>
      </c>
      <c r="G25" s="3" t="s">
        <v>32</v>
      </c>
    </row>
    <row r="26" spans="1:11" x14ac:dyDescent="0.2">
      <c r="A26" s="3">
        <v>5</v>
      </c>
      <c r="B26" s="3" t="s">
        <v>9</v>
      </c>
      <c r="C26" s="3">
        <v>2023</v>
      </c>
      <c r="D26" s="3">
        <v>3638.2</v>
      </c>
      <c r="E26" s="3">
        <v>3721.4</v>
      </c>
      <c r="F26" s="4">
        <f>(3638.2 - 3721.4) / 3721.4 * 100</f>
        <v>-2.235717740635252</v>
      </c>
      <c r="G26" s="5">
        <v>-2.2400000000000002</v>
      </c>
    </row>
    <row r="27" spans="1:11" x14ac:dyDescent="0.2">
      <c r="A27" s="3">
        <v>6</v>
      </c>
      <c r="B27" s="3" t="s">
        <v>12</v>
      </c>
      <c r="C27" s="3">
        <v>2023</v>
      </c>
      <c r="D27" s="3">
        <v>4186.8999999999996</v>
      </c>
      <c r="E27" s="3">
        <v>4252.1000000000004</v>
      </c>
      <c r="F27" s="4">
        <f>(4186.9 - 4252.1) / 4252.1 * 100</f>
        <v>-1.5333599868300538</v>
      </c>
      <c r="G27" s="5">
        <v>-1.53</v>
      </c>
    </row>
    <row r="28" spans="1:11" x14ac:dyDescent="0.2">
      <c r="A28" s="3">
        <v>7</v>
      </c>
      <c r="B28" s="3" t="s">
        <v>14</v>
      </c>
      <c r="C28" s="3">
        <v>2023</v>
      </c>
      <c r="D28" s="3">
        <v>4031.5</v>
      </c>
      <c r="E28" s="3">
        <v>4031.5</v>
      </c>
      <c r="F28" s="4">
        <f>(4031.5 - 4031.5) / 4031.5 * 100</f>
        <v>0</v>
      </c>
      <c r="G28" s="5">
        <v>0</v>
      </c>
    </row>
    <row r="29" spans="1:11" x14ac:dyDescent="0.2">
      <c r="A29" s="3">
        <v>8</v>
      </c>
      <c r="B29" s="3" t="s">
        <v>16</v>
      </c>
      <c r="C29" s="3">
        <v>2023</v>
      </c>
      <c r="D29" s="3">
        <v>4168.8999999999996</v>
      </c>
      <c r="E29" s="3">
        <v>4651.5</v>
      </c>
      <c r="F29" s="4">
        <f>(4168.9 - 4651.5) / 4651.5 * 100</f>
        <v>-10.375147801784379</v>
      </c>
      <c r="G29" s="5">
        <v>-10.38</v>
      </c>
    </row>
    <row r="30" spans="1:11" x14ac:dyDescent="0.2">
      <c r="A30" s="3">
        <v>9</v>
      </c>
      <c r="B30" s="3" t="s">
        <v>9</v>
      </c>
      <c r="C30" s="3">
        <v>2024</v>
      </c>
      <c r="D30" s="3">
        <v>3332.8</v>
      </c>
      <c r="E30" s="3">
        <v>3638.2</v>
      </c>
      <c r="F30" s="4">
        <f>(3332.8 - 3638.2) / 3638.2 * 100</f>
        <v>-8.394260898246376</v>
      </c>
      <c r="G30" s="5">
        <v>-8.39</v>
      </c>
    </row>
    <row r="31" spans="1:11" x14ac:dyDescent="0.2">
      <c r="A31" s="3">
        <v>10</v>
      </c>
      <c r="B31" s="3" t="s">
        <v>12</v>
      </c>
      <c r="C31" s="3">
        <v>2024</v>
      </c>
      <c r="D31" s="3">
        <v>3995.4</v>
      </c>
      <c r="E31" s="3">
        <v>4186.8999999999996</v>
      </c>
      <c r="F31" s="4">
        <f>(3995.4 - 4186.9) / 4186.9 * 100</f>
        <v>-4.5737896773268902</v>
      </c>
      <c r="G31" s="5">
        <v>-4.57</v>
      </c>
    </row>
    <row r="32" spans="1:11" x14ac:dyDescent="0.2">
      <c r="A32" s="3">
        <v>11</v>
      </c>
      <c r="B32" s="3" t="s">
        <v>14</v>
      </c>
      <c r="C32" s="3">
        <v>2024</v>
      </c>
      <c r="D32" s="3">
        <v>3987</v>
      </c>
      <c r="E32" s="3">
        <v>4031.5</v>
      </c>
      <c r="F32" s="4">
        <f>(3987 - 4031.5) / 4031.5 * 100</f>
        <v>-1.1038075158129728</v>
      </c>
      <c r="G32" s="5">
        <v>-1.1000000000000001</v>
      </c>
    </row>
    <row r="33" spans="1:11" x14ac:dyDescent="0.2">
      <c r="A33" s="3">
        <v>12</v>
      </c>
      <c r="B33" s="3" t="s">
        <v>16</v>
      </c>
      <c r="C33" s="3">
        <v>2024</v>
      </c>
      <c r="D33" s="3">
        <v>4200.8</v>
      </c>
      <c r="E33" s="3">
        <v>4168.8999999999996</v>
      </c>
      <c r="F33" s="4">
        <f>(4200.8 - 4168.9) / 4168.9 * 100</f>
        <v>0.76518985823599861</v>
      </c>
      <c r="G33" s="5">
        <v>0.77</v>
      </c>
    </row>
    <row r="35" spans="1:11" x14ac:dyDescent="0.2">
      <c r="A35" s="1" t="s">
        <v>34</v>
      </c>
    </row>
    <row r="36" spans="1:11" x14ac:dyDescent="0.2">
      <c r="A36" s="23" t="s">
        <v>35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ht="30" x14ac:dyDescent="0.2">
      <c r="A37" s="2" t="s">
        <v>3</v>
      </c>
      <c r="B37" s="2" t="s">
        <v>4</v>
      </c>
      <c r="C37" s="2" t="s">
        <v>5</v>
      </c>
      <c r="D37" s="2" t="s">
        <v>28</v>
      </c>
      <c r="E37" s="2" t="s">
        <v>36</v>
      </c>
      <c r="F37" s="2" t="s">
        <v>30</v>
      </c>
      <c r="G37" s="2" t="s">
        <v>37</v>
      </c>
    </row>
    <row r="38" spans="1:11" x14ac:dyDescent="0.2">
      <c r="A38" s="3">
        <v>1</v>
      </c>
      <c r="B38" s="3" t="s">
        <v>9</v>
      </c>
      <c r="C38" s="3">
        <v>2022</v>
      </c>
      <c r="D38" s="3">
        <v>3721.4</v>
      </c>
      <c r="E38" s="3" t="s">
        <v>32</v>
      </c>
      <c r="F38" s="3" t="s">
        <v>38</v>
      </c>
      <c r="G38" s="3" t="s">
        <v>32</v>
      </c>
    </row>
    <row r="39" spans="1:11" x14ac:dyDescent="0.2">
      <c r="A39" s="3">
        <v>2</v>
      </c>
      <c r="B39" s="3" t="s">
        <v>12</v>
      </c>
      <c r="C39" s="3">
        <v>2022</v>
      </c>
      <c r="D39" s="3">
        <v>4252.1000000000004</v>
      </c>
      <c r="E39" s="3">
        <v>3721.4</v>
      </c>
      <c r="F39" s="4">
        <f>(4252.1 - 3721.4) / 3721.4 * 100</f>
        <v>14.260762078787559</v>
      </c>
      <c r="G39" s="5">
        <v>14.26</v>
      </c>
    </row>
    <row r="40" spans="1:11" x14ac:dyDescent="0.2">
      <c r="A40" s="3">
        <v>3</v>
      </c>
      <c r="B40" s="3" t="s">
        <v>14</v>
      </c>
      <c r="C40" s="3">
        <v>2022</v>
      </c>
      <c r="D40" s="3">
        <v>4031.5</v>
      </c>
      <c r="E40" s="3">
        <v>4252.1000000000004</v>
      </c>
      <c r="F40" s="4">
        <f>(4031.5 - 4252.1) / 4252.1 * 100</f>
        <v>-5.1880247407163598</v>
      </c>
      <c r="G40" s="5">
        <v>-5.19</v>
      </c>
    </row>
    <row r="41" spans="1:11" x14ac:dyDescent="0.2">
      <c r="A41" s="3">
        <v>4</v>
      </c>
      <c r="B41" s="3" t="s">
        <v>16</v>
      </c>
      <c r="C41" s="3">
        <v>2022</v>
      </c>
      <c r="D41" s="3">
        <v>4651.5</v>
      </c>
      <c r="E41" s="3">
        <v>4031.5</v>
      </c>
      <c r="F41" s="4">
        <f>(4651.5 - 4031.5) / 4031.5 * 100</f>
        <v>15.378891231551531</v>
      </c>
      <c r="G41" s="5">
        <v>15.38</v>
      </c>
    </row>
    <row r="42" spans="1:11" x14ac:dyDescent="0.2">
      <c r="A42" s="3">
        <v>5</v>
      </c>
      <c r="B42" s="3" t="s">
        <v>9</v>
      </c>
      <c r="C42" s="3">
        <v>2023</v>
      </c>
      <c r="D42" s="3">
        <v>3638.2</v>
      </c>
      <c r="E42" s="3">
        <v>4651.5</v>
      </c>
      <c r="F42" s="4">
        <f>(3638.2 - 4651.5) / 4651.5 * 100</f>
        <v>-21.7843706331291</v>
      </c>
      <c r="G42" s="5">
        <v>-21.78</v>
      </c>
    </row>
    <row r="43" spans="1:11" x14ac:dyDescent="0.2">
      <c r="A43" s="3">
        <v>6</v>
      </c>
      <c r="B43" s="3" t="s">
        <v>12</v>
      </c>
      <c r="C43" s="3">
        <v>2023</v>
      </c>
      <c r="D43" s="3">
        <v>4186.8999999999996</v>
      </c>
      <c r="E43" s="3">
        <v>3638.2</v>
      </c>
      <c r="F43" s="4">
        <f>(4186.9 - 3638.2) / 3638.2 * 100</f>
        <v>15.081633774943647</v>
      </c>
      <c r="G43" s="5">
        <v>15.08</v>
      </c>
    </row>
    <row r="44" spans="1:11" x14ac:dyDescent="0.2">
      <c r="A44" s="3">
        <v>7</v>
      </c>
      <c r="B44" s="3" t="s">
        <v>14</v>
      </c>
      <c r="C44" s="3">
        <v>2023</v>
      </c>
      <c r="D44" s="3">
        <v>4031.5</v>
      </c>
      <c r="E44" s="3">
        <v>4186.8999999999996</v>
      </c>
      <c r="F44" s="4">
        <f>(4031.5 - 4186.9) / 4186.9 * 100</f>
        <v>-3.7115765841075654</v>
      </c>
      <c r="G44" s="5">
        <v>-3.71</v>
      </c>
    </row>
    <row r="45" spans="1:11" x14ac:dyDescent="0.2">
      <c r="A45" s="3">
        <v>8</v>
      </c>
      <c r="B45" s="3" t="s">
        <v>16</v>
      </c>
      <c r="C45" s="3">
        <v>2023</v>
      </c>
      <c r="D45" s="3">
        <v>4168.8999999999996</v>
      </c>
      <c r="E45" s="3">
        <v>4031.5</v>
      </c>
      <c r="F45" s="4">
        <f>(4168.9 - 4031.5) / 4031.5 * 100</f>
        <v>3.4081607342180242</v>
      </c>
      <c r="G45" s="5">
        <v>3.41</v>
      </c>
    </row>
    <row r="46" spans="1:11" x14ac:dyDescent="0.2">
      <c r="A46" s="3">
        <v>9</v>
      </c>
      <c r="B46" s="3" t="s">
        <v>9</v>
      </c>
      <c r="C46" s="3">
        <v>2024</v>
      </c>
      <c r="D46" s="3">
        <v>3332.8</v>
      </c>
      <c r="E46" s="3">
        <v>4168.8999999999996</v>
      </c>
      <c r="F46" s="4">
        <f>(3332.8 - 4168.9) / 4168.9 * 100</f>
        <v>-20.055650171508059</v>
      </c>
      <c r="G46" s="5">
        <v>-20.059999999999999</v>
      </c>
    </row>
    <row r="47" spans="1:11" x14ac:dyDescent="0.2">
      <c r="A47" s="3">
        <v>10</v>
      </c>
      <c r="B47" s="3" t="s">
        <v>12</v>
      </c>
      <c r="C47" s="3">
        <v>2024</v>
      </c>
      <c r="D47" s="3">
        <v>3995.4</v>
      </c>
      <c r="E47" s="3">
        <v>3332.8</v>
      </c>
      <c r="F47" s="4">
        <f>(3995.4 - 3332.8) / 3332.8 * 100</f>
        <v>19.881180988958231</v>
      </c>
      <c r="G47" s="5">
        <v>19.88</v>
      </c>
    </row>
    <row r="48" spans="1:11" x14ac:dyDescent="0.2">
      <c r="A48" s="3">
        <v>11</v>
      </c>
      <c r="B48" s="3" t="s">
        <v>14</v>
      </c>
      <c r="C48" s="3">
        <v>2024</v>
      </c>
      <c r="D48" s="3">
        <v>3987</v>
      </c>
      <c r="E48" s="3">
        <v>3995.4</v>
      </c>
      <c r="F48" s="4">
        <f>(3987 - 3995.4) / 3995.4 * 100</f>
        <v>-0.21024177804475375</v>
      </c>
      <c r="G48" s="5">
        <v>-0.21</v>
      </c>
    </row>
    <row r="49" spans="1:11" x14ac:dyDescent="0.2">
      <c r="A49" s="3">
        <v>12</v>
      </c>
      <c r="B49" s="3" t="s">
        <v>16</v>
      </c>
      <c r="C49" s="3">
        <v>2024</v>
      </c>
      <c r="D49" s="3">
        <v>4200.8</v>
      </c>
      <c r="E49" s="3">
        <v>3987</v>
      </c>
      <c r="F49" s="4">
        <f>(4200.8 - 3987) / 3987 * 100</f>
        <v>5.3624278906445992</v>
      </c>
      <c r="G49" s="5">
        <v>5.36</v>
      </c>
    </row>
    <row r="51" spans="1:11" x14ac:dyDescent="0.2">
      <c r="A51" s="1" t="s">
        <v>39</v>
      </c>
    </row>
    <row r="52" spans="1:11" x14ac:dyDescent="0.2">
      <c r="A52" s="23" t="s">
        <v>40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spans="1:11" ht="30" x14ac:dyDescent="0.2">
      <c r="A53" s="2" t="s">
        <v>3</v>
      </c>
      <c r="B53" s="2" t="s">
        <v>4</v>
      </c>
      <c r="C53" s="2" t="s">
        <v>5</v>
      </c>
      <c r="D53" s="2" t="s">
        <v>41</v>
      </c>
      <c r="E53" s="2" t="s">
        <v>42</v>
      </c>
      <c r="F53" s="2" t="s">
        <v>43</v>
      </c>
      <c r="G53" s="2" t="s">
        <v>44</v>
      </c>
      <c r="H53" s="2" t="s">
        <v>30</v>
      </c>
      <c r="I53" s="2" t="s">
        <v>45</v>
      </c>
    </row>
    <row r="54" spans="1:11" x14ac:dyDescent="0.2">
      <c r="A54" s="3">
        <v>1</v>
      </c>
      <c r="B54" s="3" t="s">
        <v>9</v>
      </c>
      <c r="C54" s="3">
        <v>2022</v>
      </c>
      <c r="D54" s="3" t="s">
        <v>32</v>
      </c>
      <c r="E54" s="3" t="s">
        <v>32</v>
      </c>
      <c r="F54" s="3" t="s">
        <v>32</v>
      </c>
      <c r="G54" s="3" t="s">
        <v>32</v>
      </c>
      <c r="H54" s="3" t="s">
        <v>46</v>
      </c>
      <c r="I54" s="3" t="s">
        <v>32</v>
      </c>
    </row>
    <row r="55" spans="1:11" x14ac:dyDescent="0.2">
      <c r="A55" s="3">
        <v>2</v>
      </c>
      <c r="B55" s="3" t="s">
        <v>12</v>
      </c>
      <c r="C55" s="3">
        <v>2022</v>
      </c>
      <c r="D55" s="3" t="s">
        <v>32</v>
      </c>
      <c r="E55" s="3" t="s">
        <v>32</v>
      </c>
      <c r="F55" s="3" t="s">
        <v>32</v>
      </c>
      <c r="G55" s="3" t="s">
        <v>32</v>
      </c>
      <c r="H55" s="3" t="s">
        <v>46</v>
      </c>
      <c r="I55" s="3" t="s">
        <v>32</v>
      </c>
    </row>
    <row r="56" spans="1:11" x14ac:dyDescent="0.2">
      <c r="A56" s="3">
        <v>3</v>
      </c>
      <c r="B56" s="3" t="s">
        <v>14</v>
      </c>
      <c r="C56" s="3">
        <v>2022</v>
      </c>
      <c r="D56" s="3" t="s">
        <v>32</v>
      </c>
      <c r="E56" s="3" t="s">
        <v>32</v>
      </c>
      <c r="F56" s="3" t="s">
        <v>32</v>
      </c>
      <c r="G56" s="3" t="s">
        <v>32</v>
      </c>
      <c r="H56" s="3" t="s">
        <v>46</v>
      </c>
      <c r="I56" s="3" t="s">
        <v>32</v>
      </c>
    </row>
    <row r="57" spans="1:11" x14ac:dyDescent="0.2">
      <c r="A57" s="3">
        <v>4</v>
      </c>
      <c r="B57" s="3" t="s">
        <v>16</v>
      </c>
      <c r="C57" s="3">
        <v>2022</v>
      </c>
      <c r="D57" s="3">
        <v>3721.4</v>
      </c>
      <c r="E57" s="3">
        <v>4252.1000000000004</v>
      </c>
      <c r="F57" s="3">
        <v>4031.5</v>
      </c>
      <c r="G57" s="3">
        <v>4651.5</v>
      </c>
      <c r="H57" s="4">
        <f>(3721.4 + 4252.1 + 4031.5 + 4651.5) / 4</f>
        <v>4164.125</v>
      </c>
      <c r="I57" s="5">
        <v>4164.12</v>
      </c>
    </row>
    <row r="58" spans="1:11" x14ac:dyDescent="0.2">
      <c r="A58" s="3">
        <v>5</v>
      </c>
      <c r="B58" s="3" t="s">
        <v>9</v>
      </c>
      <c r="C58" s="3">
        <v>2023</v>
      </c>
      <c r="D58" s="3">
        <v>4252.1000000000004</v>
      </c>
      <c r="E58" s="3">
        <v>4031.5</v>
      </c>
      <c r="F58" s="3">
        <v>4651.5</v>
      </c>
      <c r="G58" s="3">
        <v>3638.2</v>
      </c>
      <c r="H58" s="4">
        <f>(4252.1 + 4031.5 + 4651.5 + 3638.2) / 4</f>
        <v>4143.3249999999998</v>
      </c>
      <c r="I58" s="5">
        <v>4143.32</v>
      </c>
    </row>
    <row r="59" spans="1:11" x14ac:dyDescent="0.2">
      <c r="A59" s="3">
        <v>6</v>
      </c>
      <c r="B59" s="3" t="s">
        <v>12</v>
      </c>
      <c r="C59" s="3">
        <v>2023</v>
      </c>
      <c r="D59" s="3">
        <v>4031.5</v>
      </c>
      <c r="E59" s="3">
        <v>4651.5</v>
      </c>
      <c r="F59" s="3">
        <v>3638.2</v>
      </c>
      <c r="G59" s="3">
        <v>4186.8999999999996</v>
      </c>
      <c r="H59" s="4">
        <f>(4031.5 + 4651.5 + 3638.2 + 4186.9) / 4</f>
        <v>4127.0249999999996</v>
      </c>
      <c r="I59" s="5">
        <v>4127.0200000000004</v>
      </c>
    </row>
    <row r="60" spans="1:11" x14ac:dyDescent="0.2">
      <c r="A60" s="3">
        <v>7</v>
      </c>
      <c r="B60" s="3" t="s">
        <v>14</v>
      </c>
      <c r="C60" s="3">
        <v>2023</v>
      </c>
      <c r="D60" s="3">
        <v>4651.5</v>
      </c>
      <c r="E60" s="3">
        <v>3638.2</v>
      </c>
      <c r="F60" s="3">
        <v>4186.8999999999996</v>
      </c>
      <c r="G60" s="3">
        <v>4031.5</v>
      </c>
      <c r="H60" s="4">
        <f>(4651.5 + 3638.2 + 4186.9 + 4031.5) / 4</f>
        <v>4127.0249999999996</v>
      </c>
      <c r="I60" s="5">
        <v>4127.0200000000004</v>
      </c>
    </row>
    <row r="61" spans="1:11" x14ac:dyDescent="0.2">
      <c r="A61" s="3">
        <v>8</v>
      </c>
      <c r="B61" s="3" t="s">
        <v>16</v>
      </c>
      <c r="C61" s="3">
        <v>2023</v>
      </c>
      <c r="D61" s="3">
        <v>3638.2</v>
      </c>
      <c r="E61" s="3">
        <v>4186.8999999999996</v>
      </c>
      <c r="F61" s="3">
        <v>4031.5</v>
      </c>
      <c r="G61" s="3">
        <v>4168.8999999999996</v>
      </c>
      <c r="H61" s="4">
        <f>(3638.2 + 4186.9 + 4031.5 + 4168.9) / 4</f>
        <v>4006.3749999999995</v>
      </c>
      <c r="I61" s="5">
        <v>4006.37</v>
      </c>
    </row>
    <row r="62" spans="1:11" x14ac:dyDescent="0.2">
      <c r="A62" s="3">
        <v>9</v>
      </c>
      <c r="B62" s="3" t="s">
        <v>9</v>
      </c>
      <c r="C62" s="3">
        <v>2024</v>
      </c>
      <c r="D62" s="3">
        <v>4186.8999999999996</v>
      </c>
      <c r="E62" s="3">
        <v>4031.5</v>
      </c>
      <c r="F62" s="3">
        <v>4168.8999999999996</v>
      </c>
      <c r="G62" s="3">
        <v>3332.8</v>
      </c>
      <c r="H62" s="4">
        <f>(4186.9 + 4031.5 + 4168.9 + 3332.8) / 4</f>
        <v>3930.0249999999996</v>
      </c>
      <c r="I62" s="5">
        <v>3930.02</v>
      </c>
    </row>
    <row r="63" spans="1:11" x14ac:dyDescent="0.2">
      <c r="A63" s="3">
        <v>10</v>
      </c>
      <c r="B63" s="3" t="s">
        <v>12</v>
      </c>
      <c r="C63" s="3">
        <v>2024</v>
      </c>
      <c r="D63" s="3">
        <v>4031.5</v>
      </c>
      <c r="E63" s="3">
        <v>4168.8999999999996</v>
      </c>
      <c r="F63" s="3">
        <v>3332.8</v>
      </c>
      <c r="G63" s="3">
        <v>3995.4</v>
      </c>
      <c r="H63" s="4">
        <f>(4031.5 + 4168.9 + 3332.8 + 3995.4) / 4</f>
        <v>3882.15</v>
      </c>
      <c r="I63" s="5">
        <v>3882.15</v>
      </c>
    </row>
    <row r="64" spans="1:11" x14ac:dyDescent="0.2">
      <c r="A64" s="3">
        <v>11</v>
      </c>
      <c r="B64" s="3" t="s">
        <v>14</v>
      </c>
      <c r="C64" s="3">
        <v>2024</v>
      </c>
      <c r="D64" s="3">
        <v>4168.8999999999996</v>
      </c>
      <c r="E64" s="3">
        <v>3332.8</v>
      </c>
      <c r="F64" s="3">
        <v>3995.4</v>
      </c>
      <c r="G64" s="3">
        <v>3987</v>
      </c>
      <c r="H64" s="4">
        <f>(4168.9 + 3332.8 + 3995.4 + 3987) / 4</f>
        <v>3871.0250000000001</v>
      </c>
      <c r="I64" s="5">
        <v>3871.02</v>
      </c>
    </row>
    <row r="65" spans="1:9" x14ac:dyDescent="0.2">
      <c r="A65" s="3">
        <v>12</v>
      </c>
      <c r="B65" s="3" t="s">
        <v>16</v>
      </c>
      <c r="C65" s="3">
        <v>2024</v>
      </c>
      <c r="D65" s="3">
        <v>3332.8</v>
      </c>
      <c r="E65" s="3">
        <v>3995.4</v>
      </c>
      <c r="F65" s="3">
        <v>3987</v>
      </c>
      <c r="G65" s="3">
        <v>4200.8</v>
      </c>
      <c r="H65" s="4">
        <f>(3332.8 + 3995.4 + 3987 + 4200.8) / 4</f>
        <v>3879</v>
      </c>
      <c r="I65" s="5">
        <v>3879</v>
      </c>
    </row>
  </sheetData>
  <mergeCells count="5">
    <mergeCell ref="A20:K20"/>
    <mergeCell ref="A2:K2"/>
    <mergeCell ref="A52:K52"/>
    <mergeCell ref="A36:K36"/>
    <mergeCell ref="A1:K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="118" workbookViewId="0">
      <selection activeCell="E17" sqref="E17"/>
    </sheetView>
  </sheetViews>
  <sheetFormatPr baseColWidth="10" defaultColWidth="8.83203125" defaultRowHeight="15" x14ac:dyDescent="0.2"/>
  <cols>
    <col min="1" max="1" width="61" bestFit="1" customWidth="1"/>
    <col min="2" max="3" width="14" customWidth="1"/>
    <col min="4" max="4" width="35" customWidth="1"/>
    <col min="5" max="5" width="18" customWidth="1"/>
    <col min="6" max="6" width="35" customWidth="1"/>
  </cols>
  <sheetData>
    <row r="1" spans="1:8" ht="19" x14ac:dyDescent="0.2">
      <c r="A1" s="26" t="s">
        <v>47</v>
      </c>
      <c r="B1" s="24"/>
      <c r="C1" s="24"/>
      <c r="D1" s="24"/>
      <c r="E1" s="24"/>
      <c r="F1" s="24"/>
      <c r="G1" s="24"/>
      <c r="H1" s="24"/>
    </row>
    <row r="2" spans="1:8" x14ac:dyDescent="0.2">
      <c r="A2" s="25" t="s">
        <v>48</v>
      </c>
      <c r="B2" s="24"/>
      <c r="C2" s="24"/>
      <c r="D2" s="24"/>
      <c r="E2" s="24"/>
      <c r="F2" s="24"/>
      <c r="G2" s="24"/>
      <c r="H2" s="24"/>
    </row>
    <row r="4" spans="1:8" x14ac:dyDescent="0.2">
      <c r="A4" s="1" t="s">
        <v>49</v>
      </c>
    </row>
    <row r="5" spans="1:8" x14ac:dyDescent="0.2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</row>
    <row r="6" spans="1:8" x14ac:dyDescent="0.2">
      <c r="A6" s="6" t="s">
        <v>9</v>
      </c>
      <c r="B6" s="3">
        <v>3721.4</v>
      </c>
      <c r="C6" s="3">
        <v>3638.2</v>
      </c>
      <c r="D6" s="3">
        <v>3332.8</v>
      </c>
      <c r="E6" s="5">
        <v>3564.1</v>
      </c>
      <c r="F6" s="4">
        <f>(3721.4 + 3638.2 + 3332.8) / 3</f>
        <v>3564.1333333333337</v>
      </c>
    </row>
    <row r="7" spans="1:8" x14ac:dyDescent="0.2">
      <c r="A7" s="6" t="s">
        <v>12</v>
      </c>
      <c r="B7" s="3">
        <v>4252.1000000000004</v>
      </c>
      <c r="C7" s="3">
        <v>4186.8999999999996</v>
      </c>
      <c r="D7" s="3">
        <v>3995.4</v>
      </c>
      <c r="E7" s="5">
        <v>4144.8</v>
      </c>
      <c r="F7" s="4">
        <f>(4252.1 + 4186.9 + 3995.4) / 3</f>
        <v>4144.8</v>
      </c>
    </row>
    <row r="8" spans="1:8" x14ac:dyDescent="0.2">
      <c r="A8" s="6" t="s">
        <v>14</v>
      </c>
      <c r="B8" s="3">
        <v>4031.5</v>
      </c>
      <c r="C8" s="3">
        <v>4031.5</v>
      </c>
      <c r="D8" s="3">
        <v>3987</v>
      </c>
      <c r="E8" s="5">
        <v>4016.7</v>
      </c>
      <c r="F8" s="4">
        <f>(4031.5 + 4031.5 + 3987) / 3</f>
        <v>4016.6666666666665</v>
      </c>
    </row>
    <row r="9" spans="1:8" x14ac:dyDescent="0.2">
      <c r="A9" s="6" t="s">
        <v>16</v>
      </c>
      <c r="B9" s="3">
        <v>4651.5</v>
      </c>
      <c r="C9" s="3">
        <v>4168.8999999999996</v>
      </c>
      <c r="D9" s="3">
        <v>4200.8</v>
      </c>
      <c r="E9" s="5">
        <v>4340.3999999999996</v>
      </c>
      <c r="F9" s="4">
        <f>(4651.5 + 4168.9 + 4200.8) / 3</f>
        <v>4340.4000000000005</v>
      </c>
    </row>
    <row r="11" spans="1:8" x14ac:dyDescent="0.2">
      <c r="A11" s="1" t="s">
        <v>56</v>
      </c>
    </row>
    <row r="12" spans="1:8" x14ac:dyDescent="0.2">
      <c r="A12" s="7" t="s">
        <v>57</v>
      </c>
      <c r="B12" s="8">
        <v>4016.5</v>
      </c>
      <c r="C12" t="s">
        <v>58</v>
      </c>
      <c r="D12" s="27">
        <f>(3564.13333333333 + 4144.8 + 4016.66666666666 + 4340.4) / 4</f>
        <v>4016.4999999999977</v>
      </c>
      <c r="E12" s="24"/>
      <c r="F12" s="24"/>
    </row>
    <row r="14" spans="1:8" x14ac:dyDescent="0.2">
      <c r="A14" s="1" t="s">
        <v>59</v>
      </c>
    </row>
    <row r="15" spans="1:8" x14ac:dyDescent="0.2">
      <c r="A15" s="23" t="s">
        <v>60</v>
      </c>
      <c r="B15" s="24"/>
      <c r="C15" s="24"/>
      <c r="D15" s="24"/>
      <c r="E15" s="24"/>
      <c r="F15" s="24"/>
      <c r="G15" s="24"/>
      <c r="H15" s="24"/>
    </row>
    <row r="16" spans="1:8" x14ac:dyDescent="0.2">
      <c r="A16" s="2" t="s">
        <v>4</v>
      </c>
      <c r="B16" s="2" t="s">
        <v>61</v>
      </c>
      <c r="C16" s="2" t="s">
        <v>62</v>
      </c>
      <c r="D16" s="2" t="s">
        <v>30</v>
      </c>
      <c r="E16" s="2" t="s">
        <v>63</v>
      </c>
      <c r="F16" s="2" t="s">
        <v>64</v>
      </c>
    </row>
    <row r="17" spans="1:6" x14ac:dyDescent="0.2">
      <c r="A17" s="6" t="s">
        <v>9</v>
      </c>
      <c r="B17" s="3">
        <v>3564.1</v>
      </c>
      <c r="C17" s="3">
        <v>4016.5</v>
      </c>
      <c r="D17" s="4">
        <f>(3564.1 / 4016.5) * 100</f>
        <v>88.736462093862812</v>
      </c>
      <c r="E17" s="5" t="s">
        <v>65</v>
      </c>
      <c r="F17" s="3" t="s">
        <v>66</v>
      </c>
    </row>
    <row r="18" spans="1:6" x14ac:dyDescent="0.2">
      <c r="A18" s="6" t="s">
        <v>12</v>
      </c>
      <c r="B18" s="3">
        <v>4144.8</v>
      </c>
      <c r="C18" s="3">
        <v>4016.5</v>
      </c>
      <c r="D18" s="4">
        <f>(4144.8 / 4016.5) * 100</f>
        <v>103.19432341590937</v>
      </c>
      <c r="E18" s="5" t="s">
        <v>67</v>
      </c>
      <c r="F18" s="3" t="s">
        <v>68</v>
      </c>
    </row>
    <row r="19" spans="1:6" x14ac:dyDescent="0.2">
      <c r="A19" s="6" t="s">
        <v>14</v>
      </c>
      <c r="B19" s="3">
        <v>4016.7</v>
      </c>
      <c r="C19" s="3">
        <v>4016.5</v>
      </c>
      <c r="D19" s="4">
        <f>(4016.7 / 4016.5) * 100</f>
        <v>100.00497945972862</v>
      </c>
      <c r="E19" s="5" t="s">
        <v>69</v>
      </c>
      <c r="F19" s="3" t="s">
        <v>70</v>
      </c>
    </row>
    <row r="20" spans="1:6" x14ac:dyDescent="0.2">
      <c r="A20" s="6" t="s">
        <v>16</v>
      </c>
      <c r="B20" s="3">
        <v>4340.3999999999996</v>
      </c>
      <c r="C20" s="3">
        <v>4016.5</v>
      </c>
      <c r="D20" s="4">
        <f>(4340.4 / 4016.5) * 100</f>
        <v>108.06423503049918</v>
      </c>
      <c r="E20" s="5" t="s">
        <v>71</v>
      </c>
      <c r="F20" s="3" t="s">
        <v>72</v>
      </c>
    </row>
    <row r="22" spans="1:6" x14ac:dyDescent="0.2">
      <c r="A22" s="9" t="s">
        <v>73</v>
      </c>
    </row>
    <row r="23" spans="1:6" x14ac:dyDescent="0.2">
      <c r="A23" t="s">
        <v>74</v>
      </c>
    </row>
    <row r="24" spans="1:6" x14ac:dyDescent="0.2">
      <c r="A24" t="s">
        <v>75</v>
      </c>
    </row>
    <row r="25" spans="1:6" x14ac:dyDescent="0.2">
      <c r="A25" t="s">
        <v>76</v>
      </c>
    </row>
    <row r="26" spans="1:6" x14ac:dyDescent="0.2">
      <c r="A26" t="s">
        <v>77</v>
      </c>
    </row>
  </sheetData>
  <mergeCells count="4">
    <mergeCell ref="D12:F12"/>
    <mergeCell ref="A2:H2"/>
    <mergeCell ref="A15:H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zoomScale="107" workbookViewId="0">
      <selection activeCell="A39" sqref="A39:A43"/>
    </sheetView>
  </sheetViews>
  <sheetFormatPr baseColWidth="10" defaultColWidth="8.83203125" defaultRowHeight="15" x14ac:dyDescent="0.2"/>
  <cols>
    <col min="1" max="1" width="59.33203125" bestFit="1" customWidth="1"/>
    <col min="2" max="2" width="10" customWidth="1"/>
    <col min="3" max="3" width="11" customWidth="1"/>
    <col min="4" max="4" width="25" customWidth="1"/>
    <col min="5" max="5" width="13" customWidth="1"/>
    <col min="6" max="6" width="11" customWidth="1"/>
    <col min="7" max="7" width="33.33203125" bestFit="1" customWidth="1"/>
    <col min="8" max="8" width="16" customWidth="1"/>
    <col min="9" max="10" width="11" customWidth="1"/>
  </cols>
  <sheetData>
    <row r="1" spans="1:10" ht="19" x14ac:dyDescent="0.2">
      <c r="A1" s="26" t="s">
        <v>78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x14ac:dyDescent="0.2">
      <c r="A3" s="1" t="s">
        <v>79</v>
      </c>
    </row>
    <row r="4" spans="1:10" x14ac:dyDescent="0.2">
      <c r="A4" s="23" t="s">
        <v>80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">
      <c r="A5" t="s">
        <v>81</v>
      </c>
      <c r="B5" t="s">
        <v>82</v>
      </c>
      <c r="C5" t="s">
        <v>83</v>
      </c>
      <c r="D5" t="s">
        <v>84</v>
      </c>
      <c r="E5" t="s">
        <v>85</v>
      </c>
    </row>
    <row r="6" spans="1:10" x14ac:dyDescent="0.2">
      <c r="A6" t="s">
        <v>58</v>
      </c>
      <c r="B6" s="28">
        <f>(3332.8 + 3995.4 + 3987 + 4200.8) / 4</f>
        <v>3879</v>
      </c>
      <c r="C6" s="24"/>
      <c r="D6" s="24"/>
      <c r="E6" s="24"/>
    </row>
    <row r="7" spans="1:10" x14ac:dyDescent="0.2">
      <c r="A7" t="s">
        <v>86</v>
      </c>
      <c r="B7" s="11">
        <v>3879</v>
      </c>
    </row>
    <row r="10" spans="1:10" x14ac:dyDescent="0.2">
      <c r="A10" s="1" t="s">
        <v>87</v>
      </c>
    </row>
    <row r="11" spans="1:10" x14ac:dyDescent="0.2">
      <c r="A11" s="23" t="s">
        <v>88</v>
      </c>
      <c r="B11" s="24"/>
      <c r="C11" s="24"/>
      <c r="D11" s="24"/>
      <c r="E11" s="24"/>
      <c r="F11" s="24"/>
      <c r="G11" s="24"/>
      <c r="H11" s="24"/>
      <c r="I11" s="24"/>
      <c r="J11" s="24"/>
    </row>
    <row r="12" spans="1:10" x14ac:dyDescent="0.2">
      <c r="A12" t="s">
        <v>89</v>
      </c>
    </row>
    <row r="13" spans="1:10" x14ac:dyDescent="0.2">
      <c r="A13" t="s">
        <v>90</v>
      </c>
      <c r="B13" t="s">
        <v>91</v>
      </c>
      <c r="C13" t="s">
        <v>92</v>
      </c>
      <c r="D13" t="s">
        <v>93</v>
      </c>
      <c r="E13" t="s">
        <v>94</v>
      </c>
    </row>
    <row r="14" spans="1:10" x14ac:dyDescent="0.2">
      <c r="A14" t="s">
        <v>58</v>
      </c>
      <c r="B14" s="28">
        <f>(3332.8 * 0.1) + (3995.4 * 0.2) + (3987 * 0.3) + (4200.8 * 0.4)</f>
        <v>4008.78</v>
      </c>
      <c r="C14" s="24"/>
      <c r="D14" s="24"/>
      <c r="E14" s="24"/>
      <c r="F14" s="24"/>
    </row>
    <row r="15" spans="1:10" x14ac:dyDescent="0.2">
      <c r="A15" t="s">
        <v>86</v>
      </c>
      <c r="B15" s="11">
        <v>4008.8</v>
      </c>
    </row>
    <row r="18" spans="1:10" x14ac:dyDescent="0.2">
      <c r="A18" s="1" t="s">
        <v>95</v>
      </c>
    </row>
    <row r="19" spans="1:10" x14ac:dyDescent="0.2">
      <c r="A19" s="23" t="s">
        <v>96</v>
      </c>
      <c r="B19" s="24"/>
      <c r="C19" s="24"/>
      <c r="D19" s="24"/>
      <c r="E19" s="24"/>
      <c r="F19" s="24"/>
      <c r="G19" s="24"/>
      <c r="H19" s="24"/>
      <c r="I19" s="24"/>
      <c r="J19" s="24"/>
    </row>
    <row r="20" spans="1:10" x14ac:dyDescent="0.2">
      <c r="A20" t="s">
        <v>97</v>
      </c>
    </row>
    <row r="21" spans="1:10" x14ac:dyDescent="0.2">
      <c r="A21" t="s">
        <v>98</v>
      </c>
      <c r="B21" s="28" t="s">
        <v>99</v>
      </c>
      <c r="C21" s="24"/>
      <c r="D21" s="24"/>
      <c r="E21" s="24"/>
    </row>
    <row r="22" spans="1:10" x14ac:dyDescent="0.2">
      <c r="A22" t="s">
        <v>100</v>
      </c>
    </row>
    <row r="23" spans="1:10" x14ac:dyDescent="0.2">
      <c r="A23" t="s">
        <v>101</v>
      </c>
    </row>
    <row r="26" spans="1:10" x14ac:dyDescent="0.2">
      <c r="A26" t="s">
        <v>102</v>
      </c>
    </row>
    <row r="27" spans="1:10" ht="26" x14ac:dyDescent="0.2">
      <c r="A27" s="12" t="s">
        <v>4</v>
      </c>
      <c r="B27" s="12" t="s">
        <v>5</v>
      </c>
      <c r="C27" s="12" t="s">
        <v>103</v>
      </c>
      <c r="D27" s="12" t="s">
        <v>104</v>
      </c>
      <c r="E27" s="12" t="s">
        <v>105</v>
      </c>
      <c r="F27" s="12" t="s">
        <v>106</v>
      </c>
      <c r="G27" s="12" t="s">
        <v>107</v>
      </c>
      <c r="H27" s="12" t="s">
        <v>108</v>
      </c>
      <c r="I27" s="12" t="s">
        <v>109</v>
      </c>
      <c r="J27" s="12" t="s">
        <v>110</v>
      </c>
    </row>
    <row r="28" spans="1:10" x14ac:dyDescent="0.2">
      <c r="A28" s="3" t="s">
        <v>9</v>
      </c>
      <c r="B28" s="3">
        <v>2025</v>
      </c>
      <c r="C28" s="3">
        <v>13</v>
      </c>
      <c r="D28" s="4">
        <f>4073.82 + (-8.82 * 13)</f>
        <v>3959.1600000000003</v>
      </c>
      <c r="E28" s="3">
        <v>3959.2</v>
      </c>
      <c r="F28" s="3" t="s">
        <v>65</v>
      </c>
      <c r="G28" s="4">
        <f>3959.2 * 0.887</f>
        <v>3511.8103999999998</v>
      </c>
      <c r="H28" s="13">
        <v>3513.3</v>
      </c>
      <c r="I28" s="3">
        <v>3337.6</v>
      </c>
      <c r="J28" s="3">
        <v>3688.9</v>
      </c>
    </row>
    <row r="29" spans="1:10" x14ac:dyDescent="0.2">
      <c r="A29" s="3" t="s">
        <v>12</v>
      </c>
      <c r="B29" s="3">
        <v>2025</v>
      </c>
      <c r="C29" s="3">
        <v>14</v>
      </c>
      <c r="D29" s="4">
        <f>4073.82 + (-8.82 * 14)</f>
        <v>3950.34</v>
      </c>
      <c r="E29" s="3">
        <v>3950.4</v>
      </c>
      <c r="F29" s="3" t="s">
        <v>67</v>
      </c>
      <c r="G29" s="4">
        <f>3950.4 * 1.032</f>
        <v>4076.8128000000002</v>
      </c>
      <c r="H29" s="13">
        <v>4076.6</v>
      </c>
      <c r="I29" s="3">
        <v>3872.7</v>
      </c>
      <c r="J29" s="3">
        <v>4280.3999999999996</v>
      </c>
    </row>
    <row r="30" spans="1:10" x14ac:dyDescent="0.2">
      <c r="A30" s="3" t="s">
        <v>14</v>
      </c>
      <c r="B30" s="3">
        <v>2025</v>
      </c>
      <c r="C30" s="3">
        <v>15</v>
      </c>
      <c r="D30" s="4">
        <f>4073.82 + (-8.82 * 15)</f>
        <v>3941.52</v>
      </c>
      <c r="E30" s="3">
        <v>3941.5</v>
      </c>
      <c r="F30" s="3" t="s">
        <v>69</v>
      </c>
      <c r="G30" s="4">
        <f>3941.5 * 1</f>
        <v>3941.5</v>
      </c>
      <c r="H30" s="13">
        <v>3941.7</v>
      </c>
      <c r="I30" s="3">
        <v>3744.6</v>
      </c>
      <c r="J30" s="3">
        <v>4138.8</v>
      </c>
    </row>
    <row r="31" spans="1:10" x14ac:dyDescent="0.2">
      <c r="A31" s="3" t="s">
        <v>16</v>
      </c>
      <c r="B31" s="3">
        <v>2025</v>
      </c>
      <c r="C31" s="3">
        <v>16</v>
      </c>
      <c r="D31" s="4">
        <f>4073.82 + (-8.82 * 16)</f>
        <v>3932.7000000000003</v>
      </c>
      <c r="E31" s="3">
        <v>3932.7</v>
      </c>
      <c r="F31" s="3" t="s">
        <v>71</v>
      </c>
      <c r="G31" s="4">
        <f>3932.7 * 1.081</f>
        <v>4251.2487000000001</v>
      </c>
      <c r="H31" s="13">
        <v>4249.8999999999996</v>
      </c>
      <c r="I31" s="3">
        <v>4037.4</v>
      </c>
      <c r="J31" s="3">
        <v>4462.3999999999996</v>
      </c>
    </row>
    <row r="33" spans="1:7" x14ac:dyDescent="0.2">
      <c r="A33" s="1" t="s">
        <v>111</v>
      </c>
    </row>
    <row r="34" spans="1:7" x14ac:dyDescent="0.2">
      <c r="A34" s="2" t="s">
        <v>112</v>
      </c>
      <c r="B34" s="2" t="s">
        <v>113</v>
      </c>
      <c r="C34" s="2" t="s">
        <v>114</v>
      </c>
      <c r="D34" s="2" t="s">
        <v>115</v>
      </c>
      <c r="E34" s="2" t="s">
        <v>116</v>
      </c>
      <c r="F34" s="2" t="s">
        <v>117</v>
      </c>
      <c r="G34" s="2" t="s">
        <v>118</v>
      </c>
    </row>
    <row r="35" spans="1:7" x14ac:dyDescent="0.2">
      <c r="A35" s="3" t="s">
        <v>119</v>
      </c>
      <c r="B35" s="3">
        <v>3879</v>
      </c>
      <c r="C35" s="3">
        <v>3879</v>
      </c>
      <c r="D35" s="3">
        <v>3879</v>
      </c>
      <c r="E35" s="3">
        <v>3879</v>
      </c>
      <c r="F35" s="3">
        <v>15516</v>
      </c>
      <c r="G35" s="3" t="s">
        <v>120</v>
      </c>
    </row>
    <row r="36" spans="1:7" x14ac:dyDescent="0.2">
      <c r="A36" s="3" t="s">
        <v>121</v>
      </c>
      <c r="B36" s="3">
        <v>4008.8</v>
      </c>
      <c r="C36" s="3">
        <v>4008.8</v>
      </c>
      <c r="D36" s="3">
        <v>4008.8</v>
      </c>
      <c r="E36" s="3">
        <v>4008.8</v>
      </c>
      <c r="F36" s="3">
        <v>16035.1</v>
      </c>
      <c r="G36" s="3" t="s">
        <v>120</v>
      </c>
    </row>
    <row r="37" spans="1:7" x14ac:dyDescent="0.2">
      <c r="A37" s="6" t="s">
        <v>122</v>
      </c>
      <c r="B37" s="5">
        <v>3513.3</v>
      </c>
      <c r="C37" s="5">
        <v>4076.6</v>
      </c>
      <c r="D37" s="5">
        <v>3941.7</v>
      </c>
      <c r="E37" s="5">
        <v>4249.8999999999996</v>
      </c>
      <c r="F37" s="13">
        <v>15781.4</v>
      </c>
      <c r="G37" s="14" t="s">
        <v>123</v>
      </c>
    </row>
    <row r="39" spans="1:7" x14ac:dyDescent="0.2">
      <c r="A39" s="15" t="s">
        <v>124</v>
      </c>
    </row>
    <row r="40" spans="1:7" x14ac:dyDescent="0.2">
      <c r="A40" t="s">
        <v>125</v>
      </c>
    </row>
    <row r="41" spans="1:7" x14ac:dyDescent="0.2">
      <c r="A41" t="s">
        <v>126</v>
      </c>
    </row>
    <row r="42" spans="1:7" x14ac:dyDescent="0.2">
      <c r="A42" t="s">
        <v>127</v>
      </c>
    </row>
    <row r="43" spans="1:7" x14ac:dyDescent="0.2">
      <c r="A43" t="s">
        <v>128</v>
      </c>
    </row>
  </sheetData>
  <mergeCells count="7">
    <mergeCell ref="A1:J1"/>
    <mergeCell ref="B6:E6"/>
    <mergeCell ref="B21:E21"/>
    <mergeCell ref="A4:J4"/>
    <mergeCell ref="B14:F14"/>
    <mergeCell ref="A19:J19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selection activeCell="B28" sqref="B28"/>
    </sheetView>
  </sheetViews>
  <sheetFormatPr baseColWidth="10" defaultColWidth="8.83203125" defaultRowHeight="15" x14ac:dyDescent="0.2"/>
  <cols>
    <col min="1" max="1" width="66" bestFit="1" customWidth="1"/>
    <col min="2" max="2" width="8.33203125" bestFit="1" customWidth="1"/>
    <col min="3" max="3" width="7" bestFit="1" customWidth="1"/>
    <col min="4" max="4" width="25" customWidth="1"/>
    <col min="5" max="6" width="11" customWidth="1"/>
    <col min="7" max="7" width="25" customWidth="1"/>
    <col min="8" max="11" width="11" customWidth="1"/>
  </cols>
  <sheetData>
    <row r="1" spans="1:12" ht="19" x14ac:dyDescent="0.2">
      <c r="A1" s="26" t="s">
        <v>129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2" x14ac:dyDescent="0.2">
      <c r="A2" s="25" t="s">
        <v>130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4" spans="1:12" x14ac:dyDescent="0.2">
      <c r="A4" s="1" t="s">
        <v>131</v>
      </c>
    </row>
    <row r="5" spans="1:12" x14ac:dyDescent="0.2">
      <c r="A5" t="s">
        <v>132</v>
      </c>
      <c r="B5" s="28" t="s">
        <v>133</v>
      </c>
      <c r="C5" s="24"/>
      <c r="D5" s="24"/>
      <c r="E5" s="24"/>
    </row>
    <row r="6" spans="1:12" x14ac:dyDescent="0.2">
      <c r="A6" t="s">
        <v>134</v>
      </c>
    </row>
    <row r="9" spans="1:12" x14ac:dyDescent="0.2">
      <c r="A9" s="1" t="s">
        <v>135</v>
      </c>
    </row>
    <row r="10" spans="1:12" ht="26" x14ac:dyDescent="0.2">
      <c r="A10" s="12" t="s">
        <v>4</v>
      </c>
      <c r="B10" s="12" t="s">
        <v>5</v>
      </c>
      <c r="C10" s="12" t="s">
        <v>103</v>
      </c>
      <c r="D10" s="12" t="s">
        <v>136</v>
      </c>
      <c r="E10" s="12" t="s">
        <v>137</v>
      </c>
      <c r="F10" s="12" t="s">
        <v>106</v>
      </c>
      <c r="G10" s="12" t="s">
        <v>138</v>
      </c>
      <c r="H10" s="12" t="s">
        <v>139</v>
      </c>
      <c r="I10" s="12" t="s">
        <v>140</v>
      </c>
      <c r="J10" s="12" t="s">
        <v>141</v>
      </c>
      <c r="K10" s="12" t="s">
        <v>142</v>
      </c>
      <c r="L10" s="12" t="s">
        <v>143</v>
      </c>
    </row>
    <row r="11" spans="1:12" x14ac:dyDescent="0.2">
      <c r="A11" s="3" t="s">
        <v>9</v>
      </c>
      <c r="B11" s="3">
        <v>2024</v>
      </c>
      <c r="C11" s="3">
        <v>9</v>
      </c>
      <c r="D11" s="4">
        <f>4005.84 + (17.65 * 9)</f>
        <v>4164.6900000000005</v>
      </c>
      <c r="E11" s="3">
        <v>4164.7</v>
      </c>
      <c r="F11" s="3" t="s">
        <v>65</v>
      </c>
      <c r="G11" s="4">
        <f>4164.7 * 0.887</f>
        <v>3694.0888999999997</v>
      </c>
      <c r="H11" s="3">
        <v>3695.6</v>
      </c>
      <c r="I11" s="5">
        <v>3332.8</v>
      </c>
      <c r="J11" s="3">
        <v>-362.8</v>
      </c>
      <c r="K11" s="3">
        <v>362.8</v>
      </c>
      <c r="L11" s="3" t="s">
        <v>144</v>
      </c>
    </row>
    <row r="12" spans="1:12" x14ac:dyDescent="0.2">
      <c r="A12" s="3" t="s">
        <v>12</v>
      </c>
      <c r="B12" s="3">
        <v>2024</v>
      </c>
      <c r="C12" s="3">
        <v>10</v>
      </c>
      <c r="D12" s="4">
        <f>4005.84 + (17.65 * 10)</f>
        <v>4182.34</v>
      </c>
      <c r="E12" s="3">
        <v>4182.3</v>
      </c>
      <c r="F12" s="3" t="s">
        <v>67</v>
      </c>
      <c r="G12" s="4">
        <f>4182.3 * 1.032</f>
        <v>4316.1336000000001</v>
      </c>
      <c r="H12" s="3">
        <v>4315.8999999999996</v>
      </c>
      <c r="I12" s="5">
        <v>3995.4</v>
      </c>
      <c r="J12" s="3">
        <v>-320.5</v>
      </c>
      <c r="K12" s="3">
        <v>320.5</v>
      </c>
      <c r="L12" s="3" t="s">
        <v>145</v>
      </c>
    </row>
    <row r="13" spans="1:12" x14ac:dyDescent="0.2">
      <c r="A13" s="3" t="s">
        <v>14</v>
      </c>
      <c r="B13" s="3">
        <v>2024</v>
      </c>
      <c r="C13" s="3">
        <v>11</v>
      </c>
      <c r="D13" s="4">
        <f>4005.84 + (17.65 * 11)</f>
        <v>4199.99</v>
      </c>
      <c r="E13" s="3">
        <v>4200</v>
      </c>
      <c r="F13" s="3" t="s">
        <v>69</v>
      </c>
      <c r="G13" s="4">
        <f>4200 * 1</f>
        <v>4200</v>
      </c>
      <c r="H13" s="3">
        <v>4200.1000000000004</v>
      </c>
      <c r="I13" s="5">
        <v>3987</v>
      </c>
      <c r="J13" s="3">
        <v>-213.1</v>
      </c>
      <c r="K13" s="3">
        <v>213.1</v>
      </c>
      <c r="L13" s="3" t="s">
        <v>146</v>
      </c>
    </row>
    <row r="14" spans="1:12" x14ac:dyDescent="0.2">
      <c r="A14" s="3" t="s">
        <v>16</v>
      </c>
      <c r="B14" s="3">
        <v>2024</v>
      </c>
      <c r="C14" s="3">
        <v>12</v>
      </c>
      <c r="D14" s="4">
        <f>4005.84 + (17.65 * 12)</f>
        <v>4217.6400000000003</v>
      </c>
      <c r="E14" s="3">
        <v>4217.6000000000004</v>
      </c>
      <c r="F14" s="3" t="s">
        <v>71</v>
      </c>
      <c r="G14" s="4">
        <f>4217.6 * 1.081</f>
        <v>4559.2256000000007</v>
      </c>
      <c r="H14" s="3">
        <v>4557.7</v>
      </c>
      <c r="I14" s="5">
        <v>4200.8</v>
      </c>
      <c r="J14" s="3">
        <v>-356.9</v>
      </c>
      <c r="K14" s="3">
        <v>356.9</v>
      </c>
      <c r="L14" s="3" t="s">
        <v>147</v>
      </c>
    </row>
    <row r="16" spans="1:12" x14ac:dyDescent="0.2">
      <c r="A16" s="1" t="s">
        <v>148</v>
      </c>
    </row>
    <row r="18" spans="1:4" x14ac:dyDescent="0.2">
      <c r="A18" t="s">
        <v>149</v>
      </c>
    </row>
    <row r="19" spans="1:4" x14ac:dyDescent="0.2">
      <c r="A19" t="s">
        <v>150</v>
      </c>
      <c r="B19" s="28">
        <f>AVERAGE(10.8860510139519, 8.02193705917, 5.34571866617619, 8.49659339935878)</f>
        <v>8.1875750346642171</v>
      </c>
      <c r="C19" s="24"/>
      <c r="D19" s="24"/>
    </row>
    <row r="20" spans="1:4" x14ac:dyDescent="0.2">
      <c r="A20" t="s">
        <v>151</v>
      </c>
      <c r="B20" s="30">
        <v>8.1900000000000001E-2</v>
      </c>
    </row>
    <row r="22" spans="1:4" x14ac:dyDescent="0.2">
      <c r="A22" t="s">
        <v>152</v>
      </c>
    </row>
    <row r="23" spans="1:4" x14ac:dyDescent="0.2">
      <c r="A23" t="s">
        <v>150</v>
      </c>
      <c r="B23" s="10">
        <f>100% - 8.19%</f>
        <v>0.91810000000000003</v>
      </c>
    </row>
    <row r="24" spans="1:4" ht="16" x14ac:dyDescent="0.2">
      <c r="A24" t="s">
        <v>153</v>
      </c>
      <c r="B24" s="16" t="s">
        <v>154</v>
      </c>
    </row>
    <row r="26" spans="1:4" x14ac:dyDescent="0.2">
      <c r="A26" t="s">
        <v>155</v>
      </c>
    </row>
    <row r="27" spans="1:4" x14ac:dyDescent="0.2">
      <c r="A27" t="s">
        <v>150</v>
      </c>
      <c r="B27" s="28"/>
      <c r="C27" s="24"/>
      <c r="D27" s="24"/>
    </row>
    <row r="28" spans="1:4" x14ac:dyDescent="0.2">
      <c r="A28" t="s">
        <v>156</v>
      </c>
      <c r="B28" s="11" t="s">
        <v>157</v>
      </c>
    </row>
    <row r="31" spans="1:4" x14ac:dyDescent="0.2">
      <c r="A31" s="9" t="s">
        <v>158</v>
      </c>
    </row>
    <row r="32" spans="1:4" x14ac:dyDescent="0.2">
      <c r="A32" t="s">
        <v>159</v>
      </c>
    </row>
    <row r="33" spans="1:1" x14ac:dyDescent="0.2">
      <c r="A33" t="s">
        <v>160</v>
      </c>
    </row>
    <row r="34" spans="1:1" x14ac:dyDescent="0.2">
      <c r="A34" t="s">
        <v>161</v>
      </c>
    </row>
    <row r="35" spans="1:1" x14ac:dyDescent="0.2">
      <c r="A35" t="s">
        <v>162</v>
      </c>
    </row>
    <row r="37" spans="1:1" x14ac:dyDescent="0.2">
      <c r="A37" s="7" t="s">
        <v>163</v>
      </c>
    </row>
    <row r="38" spans="1:1" x14ac:dyDescent="0.2">
      <c r="A38" t="s">
        <v>164</v>
      </c>
    </row>
    <row r="39" spans="1:1" x14ac:dyDescent="0.2">
      <c r="A39" t="s">
        <v>165</v>
      </c>
    </row>
    <row r="40" spans="1:1" x14ac:dyDescent="0.2">
      <c r="A40" t="s">
        <v>166</v>
      </c>
    </row>
  </sheetData>
  <mergeCells count="5">
    <mergeCell ref="B19:D19"/>
    <mergeCell ref="A2:K2"/>
    <mergeCell ref="B27:D27"/>
    <mergeCell ref="B5:E5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tabSelected="1" topLeftCell="A2" zoomScale="90" workbookViewId="0">
      <selection activeCell="B13" sqref="B13"/>
    </sheetView>
  </sheetViews>
  <sheetFormatPr baseColWidth="10" defaultColWidth="8.83203125" defaultRowHeight="15" x14ac:dyDescent="0.2"/>
  <cols>
    <col min="1" max="1" width="66.5" customWidth="1"/>
    <col min="2" max="2" width="20" customWidth="1"/>
    <col min="3" max="3" width="32" bestFit="1" customWidth="1"/>
    <col min="4" max="5" width="18" customWidth="1"/>
    <col min="6" max="6" width="25" customWidth="1"/>
    <col min="7" max="7" width="40" customWidth="1"/>
  </cols>
  <sheetData>
    <row r="1" spans="1:7" ht="19" x14ac:dyDescent="0.2">
      <c r="A1" s="26" t="s">
        <v>167</v>
      </c>
      <c r="B1" s="24"/>
      <c r="C1" s="24"/>
      <c r="D1" s="24"/>
      <c r="E1" s="24"/>
      <c r="F1" s="24"/>
      <c r="G1" s="24"/>
    </row>
    <row r="2" spans="1:7" x14ac:dyDescent="0.2">
      <c r="A2" s="29" t="s">
        <v>168</v>
      </c>
      <c r="B2" s="24"/>
      <c r="C2" s="24"/>
      <c r="D2" s="24"/>
      <c r="E2" s="24"/>
      <c r="F2" s="24"/>
      <c r="G2" s="24"/>
    </row>
    <row r="4" spans="1:7" ht="16" x14ac:dyDescent="0.2">
      <c r="A4" s="17" t="s">
        <v>169</v>
      </c>
    </row>
    <row r="5" spans="1:7" x14ac:dyDescent="0.2">
      <c r="A5" s="18" t="s">
        <v>170</v>
      </c>
      <c r="B5" s="18" t="s">
        <v>171</v>
      </c>
      <c r="C5" s="18" t="s">
        <v>172</v>
      </c>
    </row>
    <row r="6" spans="1:7" x14ac:dyDescent="0.2">
      <c r="A6" s="19" t="s">
        <v>173</v>
      </c>
      <c r="B6" s="20" t="s">
        <v>154</v>
      </c>
      <c r="C6" s="19" t="s">
        <v>174</v>
      </c>
    </row>
    <row r="7" spans="1:7" x14ac:dyDescent="0.2">
      <c r="A7" s="19" t="s">
        <v>175</v>
      </c>
      <c r="B7" s="20" t="s">
        <v>176</v>
      </c>
      <c r="C7" s="19" t="s">
        <v>177</v>
      </c>
    </row>
    <row r="8" spans="1:7" x14ac:dyDescent="0.2">
      <c r="A8" s="19" t="s">
        <v>178</v>
      </c>
      <c r="B8" s="20" t="s">
        <v>179</v>
      </c>
      <c r="C8" s="19" t="s">
        <v>180</v>
      </c>
    </row>
    <row r="9" spans="1:7" x14ac:dyDescent="0.2">
      <c r="A9" s="19" t="s">
        <v>181</v>
      </c>
      <c r="B9" s="20" t="s">
        <v>182</v>
      </c>
      <c r="C9" s="19" t="s">
        <v>183</v>
      </c>
    </row>
    <row r="10" spans="1:7" x14ac:dyDescent="0.2">
      <c r="A10" s="19" t="s">
        <v>184</v>
      </c>
      <c r="B10" s="20" t="s">
        <v>185</v>
      </c>
      <c r="C10" s="19" t="s">
        <v>186</v>
      </c>
    </row>
    <row r="12" spans="1:7" ht="16" x14ac:dyDescent="0.2">
      <c r="A12" s="17" t="s">
        <v>187</v>
      </c>
    </row>
    <row r="13" spans="1:7" x14ac:dyDescent="0.2">
      <c r="A13" s="21" t="s">
        <v>4</v>
      </c>
      <c r="B13" s="21" t="s">
        <v>188</v>
      </c>
      <c r="C13" s="21" t="s">
        <v>189</v>
      </c>
      <c r="D13" s="21" t="s">
        <v>190</v>
      </c>
      <c r="E13" s="21" t="s">
        <v>191</v>
      </c>
    </row>
    <row r="14" spans="1:7" x14ac:dyDescent="0.2">
      <c r="A14" s="3" t="s">
        <v>9</v>
      </c>
      <c r="B14" s="5">
        <v>3513.3</v>
      </c>
      <c r="C14" s="3">
        <v>3337.6</v>
      </c>
      <c r="D14" s="3">
        <v>3688.9</v>
      </c>
      <c r="E14" s="3" t="s">
        <v>192</v>
      </c>
    </row>
    <row r="15" spans="1:7" x14ac:dyDescent="0.2">
      <c r="A15" s="3" t="s">
        <v>12</v>
      </c>
      <c r="B15" s="5">
        <v>4076.6</v>
      </c>
      <c r="C15" s="3">
        <v>3872.7</v>
      </c>
      <c r="D15" s="3">
        <v>4280.3999999999996</v>
      </c>
      <c r="E15" s="3" t="s">
        <v>193</v>
      </c>
    </row>
    <row r="16" spans="1:7" x14ac:dyDescent="0.2">
      <c r="A16" s="3" t="s">
        <v>14</v>
      </c>
      <c r="B16" s="5">
        <v>3941.7</v>
      </c>
      <c r="C16" s="3">
        <v>3744.6</v>
      </c>
      <c r="D16" s="3">
        <v>4138.8</v>
      </c>
      <c r="E16" s="3" t="s">
        <v>194</v>
      </c>
    </row>
    <row r="17" spans="1:5" x14ac:dyDescent="0.2">
      <c r="A17" s="3" t="s">
        <v>16</v>
      </c>
      <c r="B17" s="5">
        <v>4249.8999999999996</v>
      </c>
      <c r="C17" s="3">
        <v>4037.4</v>
      </c>
      <c r="D17" s="3">
        <v>4462.3999999999996</v>
      </c>
      <c r="E17" s="3" t="s">
        <v>195</v>
      </c>
    </row>
    <row r="19" spans="1:5" ht="16" x14ac:dyDescent="0.2">
      <c r="A19" s="17" t="s">
        <v>196</v>
      </c>
    </row>
    <row r="20" spans="1:5" x14ac:dyDescent="0.2">
      <c r="A20" t="s">
        <v>197</v>
      </c>
      <c r="B20" t="s">
        <v>198</v>
      </c>
    </row>
    <row r="21" spans="1:5" x14ac:dyDescent="0.2">
      <c r="A21" t="s">
        <v>199</v>
      </c>
      <c r="B21" t="s">
        <v>200</v>
      </c>
    </row>
    <row r="22" spans="1:5" x14ac:dyDescent="0.2">
      <c r="A22" t="s">
        <v>201</v>
      </c>
      <c r="B22" t="s">
        <v>202</v>
      </c>
    </row>
    <row r="24" spans="1:5" ht="16" x14ac:dyDescent="0.2">
      <c r="A24" s="17" t="s">
        <v>203</v>
      </c>
    </row>
    <row r="25" spans="1:5" x14ac:dyDescent="0.2">
      <c r="A25" t="s">
        <v>216</v>
      </c>
    </row>
    <row r="26" spans="1:5" x14ac:dyDescent="0.2">
      <c r="A26" t="s">
        <v>204</v>
      </c>
    </row>
    <row r="28" spans="1:5" x14ac:dyDescent="0.2">
      <c r="A28" t="s">
        <v>215</v>
      </c>
    </row>
    <row r="29" spans="1:5" x14ac:dyDescent="0.2">
      <c r="A29" t="s">
        <v>205</v>
      </c>
    </row>
    <row r="31" spans="1:5" x14ac:dyDescent="0.2">
      <c r="A31" t="s">
        <v>217</v>
      </c>
    </row>
    <row r="32" spans="1:5" x14ac:dyDescent="0.2">
      <c r="A32" t="s">
        <v>206</v>
      </c>
    </row>
    <row r="34" spans="1:1" x14ac:dyDescent="0.2">
      <c r="A34" t="s">
        <v>218</v>
      </c>
    </row>
    <row r="35" spans="1:1" x14ac:dyDescent="0.2">
      <c r="A35" t="s">
        <v>207</v>
      </c>
    </row>
    <row r="37" spans="1:1" ht="16" x14ac:dyDescent="0.2">
      <c r="A37" s="17" t="s">
        <v>208</v>
      </c>
    </row>
    <row r="38" spans="1:1" x14ac:dyDescent="0.2">
      <c r="A38" t="s">
        <v>209</v>
      </c>
    </row>
    <row r="39" spans="1:1" x14ac:dyDescent="0.2">
      <c r="A39" t="s">
        <v>210</v>
      </c>
    </row>
    <row r="40" spans="1:1" x14ac:dyDescent="0.2">
      <c r="A40" t="s">
        <v>211</v>
      </c>
    </row>
    <row r="41" spans="1:1" x14ac:dyDescent="0.2">
      <c r="A41" t="s">
        <v>212</v>
      </c>
    </row>
    <row r="42" spans="1:1" x14ac:dyDescent="0.2">
      <c r="A42" t="s">
        <v>213</v>
      </c>
    </row>
    <row r="44" spans="1:1" x14ac:dyDescent="0.2">
      <c r="A44" s="22" t="s">
        <v>214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1_Data_and_Calculations</vt:lpstr>
      <vt:lpstr>2_Seasonality_Analysis</vt:lpstr>
      <vt:lpstr>3_Forecast_Methodology</vt:lpstr>
      <vt:lpstr>4_Model_Validation</vt:lpstr>
      <vt:lpstr>5_Executive_Summary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Vatsal Chavda</dc:creator>
  <cp:keywords/>
  <dc:description/>
  <cp:lastModifiedBy>Vatsal Maheshbhai Chavda</cp:lastModifiedBy>
  <dcterms:created xsi:type="dcterms:W3CDTF">2026-01-28T22:35:54Z</dcterms:created>
  <dcterms:modified xsi:type="dcterms:W3CDTF">2026-02-03T21:59:41Z</dcterms:modified>
  <cp:category/>
</cp:coreProperties>
</file>