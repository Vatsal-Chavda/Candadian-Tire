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vatsalchavda/Desktop/ExcelGHub/"/>
    </mc:Choice>
  </mc:AlternateContent>
  <xr:revisionPtr revIDLastSave="0" documentId="8_{4192EBC5-E39F-E845-A713-49229A473A56}" xr6:coauthVersionLast="47" xr6:coauthVersionMax="47" xr10:uidLastSave="{00000000-0000-0000-0000-000000000000}"/>
  <bookViews>
    <workbookView xWindow="0" yWindow="740" windowWidth="29400" windowHeight="17100" xr2:uid="{00000000-000D-0000-FFFF-FFFF00000000}"/>
  </bookViews>
  <sheets>
    <sheet name="Raw Data" sheetId="1" r:id="rId1"/>
    <sheet name="Return Calculations" sheetId="2" r:id="rId2"/>
    <sheet name="Volatility Calculations" sheetId="3" r:id="rId3"/>
    <sheet name="Sharpe Rat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4" l="1"/>
  <c r="B13" i="4"/>
  <c r="C9" i="4"/>
  <c r="B9" i="4"/>
  <c r="C7" i="4"/>
  <c r="O7" i="3"/>
  <c r="O8" i="3"/>
  <c r="O9" i="3"/>
  <c r="O10" i="3"/>
  <c r="O11" i="3"/>
  <c r="O12" i="3"/>
  <c r="O13" i="3"/>
  <c r="O14" i="3"/>
  <c r="O15" i="3"/>
  <c r="O6" i="3"/>
  <c r="C39" i="3"/>
  <c r="B39" i="3"/>
  <c r="B24" i="3"/>
  <c r="C17" i="4"/>
  <c r="B42" i="3"/>
  <c r="B21" i="4" s="1"/>
  <c r="M15" i="3"/>
  <c r="L15" i="3"/>
  <c r="K15" i="3"/>
  <c r="J15" i="3"/>
  <c r="I15" i="3"/>
  <c r="H15" i="3"/>
  <c r="G15" i="3"/>
  <c r="F15" i="3"/>
  <c r="E15" i="3"/>
  <c r="D15" i="3"/>
  <c r="C15" i="3"/>
  <c r="B15" i="3"/>
  <c r="N15" i="3" s="1"/>
  <c r="A15" i="3"/>
  <c r="M14" i="3"/>
  <c r="L14" i="3"/>
  <c r="K14" i="3"/>
  <c r="J14" i="3"/>
  <c r="I14" i="3"/>
  <c r="H14" i="3"/>
  <c r="G14" i="3"/>
  <c r="F14" i="3"/>
  <c r="E14" i="3"/>
  <c r="D14" i="3"/>
  <c r="C14" i="3"/>
  <c r="B14" i="3"/>
  <c r="N14" i="3" s="1"/>
  <c r="A14" i="3"/>
  <c r="M13" i="3"/>
  <c r="L13" i="3"/>
  <c r="K13" i="3"/>
  <c r="J13" i="3"/>
  <c r="I13" i="3"/>
  <c r="H13" i="3"/>
  <c r="G13" i="3"/>
  <c r="F13" i="3"/>
  <c r="E13" i="3"/>
  <c r="D13" i="3"/>
  <c r="C13" i="3"/>
  <c r="B13" i="3"/>
  <c r="N13" i="3" s="1"/>
  <c r="A13" i="3"/>
  <c r="M12" i="3"/>
  <c r="L12" i="3"/>
  <c r="K12" i="3"/>
  <c r="J12" i="3"/>
  <c r="I12" i="3"/>
  <c r="H12" i="3"/>
  <c r="G12" i="3"/>
  <c r="F12" i="3"/>
  <c r="N12" i="3" s="1"/>
  <c r="E12" i="3"/>
  <c r="D12" i="3"/>
  <c r="C12" i="3"/>
  <c r="B12" i="3"/>
  <c r="A12" i="3"/>
  <c r="M11" i="3"/>
  <c r="L11" i="3"/>
  <c r="K11" i="3"/>
  <c r="J11" i="3"/>
  <c r="I11" i="3"/>
  <c r="H11" i="3"/>
  <c r="G11" i="3"/>
  <c r="F11" i="3"/>
  <c r="E11" i="3"/>
  <c r="N11" i="3" s="1"/>
  <c r="D11" i="3"/>
  <c r="C11" i="3"/>
  <c r="B11" i="3"/>
  <c r="A11" i="3"/>
  <c r="M10" i="3"/>
  <c r="L10" i="3"/>
  <c r="K10" i="3"/>
  <c r="J10" i="3"/>
  <c r="I10" i="3"/>
  <c r="H10" i="3"/>
  <c r="G10" i="3"/>
  <c r="F10" i="3"/>
  <c r="E10" i="3"/>
  <c r="D10" i="3"/>
  <c r="N10" i="3" s="1"/>
  <c r="C10" i="3"/>
  <c r="B10" i="3"/>
  <c r="A10" i="3"/>
  <c r="M9" i="3"/>
  <c r="L9" i="3"/>
  <c r="K9" i="3"/>
  <c r="J9" i="3"/>
  <c r="I9" i="3"/>
  <c r="H9" i="3"/>
  <c r="G9" i="3"/>
  <c r="F9" i="3"/>
  <c r="E9" i="3"/>
  <c r="D9" i="3"/>
  <c r="C9" i="3"/>
  <c r="N9" i="3" s="1"/>
  <c r="B9" i="3"/>
  <c r="A9" i="3"/>
  <c r="M8" i="3"/>
  <c r="L8" i="3"/>
  <c r="K8" i="3"/>
  <c r="J8" i="3"/>
  <c r="I8" i="3"/>
  <c r="H8" i="3"/>
  <c r="G8" i="3"/>
  <c r="F8" i="3"/>
  <c r="E8" i="3"/>
  <c r="D8" i="3"/>
  <c r="C8" i="3"/>
  <c r="B8" i="3"/>
  <c r="N8" i="3" s="1"/>
  <c r="A8" i="3"/>
  <c r="M7" i="3"/>
  <c r="L7" i="3"/>
  <c r="K7" i="3"/>
  <c r="J7" i="3"/>
  <c r="I7" i="3"/>
  <c r="H7" i="3"/>
  <c r="G7" i="3"/>
  <c r="F7" i="3"/>
  <c r="E7" i="3"/>
  <c r="D7" i="3"/>
  <c r="C7" i="3"/>
  <c r="B7" i="3"/>
  <c r="N7" i="3" s="1"/>
  <c r="A7" i="3"/>
  <c r="M6" i="3"/>
  <c r="L6" i="3"/>
  <c r="K6" i="3"/>
  <c r="J6" i="3"/>
  <c r="I6" i="3"/>
  <c r="H6" i="3"/>
  <c r="G6" i="3"/>
  <c r="F6" i="3"/>
  <c r="E6" i="3"/>
  <c r="D6" i="3"/>
  <c r="C6" i="3"/>
  <c r="B6" i="3"/>
  <c r="A6" i="3"/>
  <c r="F16" i="2"/>
  <c r="I16" i="2" s="1"/>
  <c r="E16" i="2"/>
  <c r="D16" i="2"/>
  <c r="C16" i="2"/>
  <c r="B16" i="2"/>
  <c r="A16" i="2"/>
  <c r="F15" i="2"/>
  <c r="D15" i="2"/>
  <c r="C15" i="2"/>
  <c r="B15" i="2"/>
  <c r="E15" i="2" s="1"/>
  <c r="A15" i="2"/>
  <c r="D14" i="2"/>
  <c r="C14" i="2"/>
  <c r="B14" i="2"/>
  <c r="F14" i="2" s="1"/>
  <c r="A14" i="2"/>
  <c r="D13" i="2"/>
  <c r="C13" i="2"/>
  <c r="B13" i="2"/>
  <c r="F13" i="2" s="1"/>
  <c r="A13" i="2"/>
  <c r="D12" i="2"/>
  <c r="C12" i="2"/>
  <c r="B12" i="2"/>
  <c r="F12" i="2" s="1"/>
  <c r="A12" i="2"/>
  <c r="D11" i="2"/>
  <c r="C11" i="2"/>
  <c r="B11" i="2"/>
  <c r="F11" i="2" s="1"/>
  <c r="A11" i="2"/>
  <c r="D10" i="2"/>
  <c r="F10" i="2" s="1"/>
  <c r="C10" i="2"/>
  <c r="E10" i="2" s="1"/>
  <c r="B10" i="2"/>
  <c r="A10" i="2"/>
  <c r="E9" i="2"/>
  <c r="D9" i="2"/>
  <c r="F9" i="2" s="1"/>
  <c r="C9" i="2"/>
  <c r="B9" i="2"/>
  <c r="A9" i="2"/>
  <c r="F8" i="2"/>
  <c r="I8" i="2" s="1"/>
  <c r="E8" i="2"/>
  <c r="D8" i="2"/>
  <c r="C8" i="2"/>
  <c r="B8" i="2"/>
  <c r="A8" i="2"/>
  <c r="F7" i="2"/>
  <c r="D7" i="2"/>
  <c r="C7" i="2"/>
  <c r="B7" i="2"/>
  <c r="E7" i="2" s="1"/>
  <c r="A7" i="2"/>
  <c r="I10" i="2" l="1"/>
  <c r="H10" i="2"/>
  <c r="G10" i="2"/>
  <c r="B33" i="3"/>
  <c r="I13" i="2"/>
  <c r="H13" i="2"/>
  <c r="I9" i="2"/>
  <c r="H9" i="2"/>
  <c r="G9" i="2"/>
  <c r="I15" i="2"/>
  <c r="F17" i="2"/>
  <c r="B31" i="3"/>
  <c r="B32" i="3"/>
  <c r="H12" i="2"/>
  <c r="G12" i="2"/>
  <c r="I12" i="2"/>
  <c r="H14" i="2"/>
  <c r="C42" i="3"/>
  <c r="B25" i="3"/>
  <c r="G7" i="2"/>
  <c r="G15" i="2"/>
  <c r="B26" i="3"/>
  <c r="B34" i="3"/>
  <c r="H7" i="2"/>
  <c r="G8" i="2"/>
  <c r="H15" i="2"/>
  <c r="G16" i="2"/>
  <c r="B27" i="3"/>
  <c r="B35" i="3"/>
  <c r="I7" i="2"/>
  <c r="H8" i="2"/>
  <c r="E11" i="2"/>
  <c r="H11" i="2" s="1"/>
  <c r="H16" i="2"/>
  <c r="B28" i="3"/>
  <c r="E12" i="2"/>
  <c r="B29" i="3"/>
  <c r="E13" i="2"/>
  <c r="G13" i="2" s="1"/>
  <c r="B30" i="3"/>
  <c r="E14" i="2"/>
  <c r="G14" i="2" s="1"/>
  <c r="N6" i="3"/>
  <c r="E17" i="2" l="1"/>
  <c r="G17" i="2" s="1"/>
  <c r="I14" i="2"/>
  <c r="G11" i="2"/>
  <c r="I11" i="2"/>
  <c r="B7" i="4"/>
  <c r="B17" i="4" s="1"/>
  <c r="B23" i="4" s="1"/>
  <c r="H17" i="2" l="1"/>
</calcChain>
</file>

<file path=xl/sharedStrings.xml><?xml version="1.0" encoding="utf-8"?>
<sst xmlns="http://schemas.openxmlformats.org/spreadsheetml/2006/main" count="153" uniqueCount="111">
  <si>
    <t>PORTFOLIO RAW DATA - ALL INPUTS</t>
  </si>
  <si>
    <t>DATA SOURCE: Hypothetical portfolio data for educational purposes</t>
  </si>
  <si>
    <t>TABLE 1: PORTFOLIO HOLDINGS</t>
  </si>
  <si>
    <t>Ticker</t>
  </si>
  <si>
    <t>Company Name</t>
  </si>
  <si>
    <t>Sector</t>
  </si>
  <si>
    <t>Shares</t>
  </si>
  <si>
    <t>Purchase Price</t>
  </si>
  <si>
    <t>Current Price</t>
  </si>
  <si>
    <t>AAPL</t>
  </si>
  <si>
    <t>Apple Inc.</t>
  </si>
  <si>
    <t>Technology</t>
  </si>
  <si>
    <t>MSFT</t>
  </si>
  <si>
    <t>Microsoft Corp.</t>
  </si>
  <si>
    <t>JNJ</t>
  </si>
  <si>
    <t>Johnson &amp; Johnson</t>
  </si>
  <si>
    <t>Healthcare</t>
  </si>
  <si>
    <t>JPM</t>
  </si>
  <si>
    <t>JPMorgan Chase</t>
  </si>
  <si>
    <t>Financial Services</t>
  </si>
  <si>
    <t>XOM</t>
  </si>
  <si>
    <t>Exxon Mobil</t>
  </si>
  <si>
    <t>Energy</t>
  </si>
  <si>
    <t>PG</t>
  </si>
  <si>
    <t>Procter &amp; Gamble</t>
  </si>
  <si>
    <t>Consumer Staples</t>
  </si>
  <si>
    <t>AMZN</t>
  </si>
  <si>
    <t>Amazon.com Inc.</t>
  </si>
  <si>
    <t>Consumer Discretionary</t>
  </si>
  <si>
    <t>V</t>
  </si>
  <si>
    <t>Visa Inc.</t>
  </si>
  <si>
    <t>UNH</t>
  </si>
  <si>
    <t>UnitedHealth Group</t>
  </si>
  <si>
    <t>T</t>
  </si>
  <si>
    <t>AT&amp;T Inc.</t>
  </si>
  <si>
    <t>Communication Services</t>
  </si>
  <si>
    <t>TABLE 2: MONTHLY RETURNS DATA (Percentages)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</si>
  <si>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</si>
  <si>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</si>
  <si>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</si>
  <si>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</si>
  <si>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</si>
  <si>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</si>
  <si>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</si>
  <si>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</si>
  <si>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</si>
  <si>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</si>
  <si>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</si>
  <si>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</si>
  <si>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S&amp;P 500</t>
  </si>
  <si>
    <t>TABLE 3: ASSUMPTIONS</t>
  </si>
  <si>
    <t>Parameter</t>
  </si>
  <si>
    <t>Value</t>
  </si>
  <si>
    <t>Risk-Free Rate (Annual)</t>
  </si>
  <si>
    <t>Source</t>
  </si>
  <si>
    <t>US Treasury 3-Month T-Bill</t>
  </si>
  <si>
    <t>PORTFOLIO RETURN CALCULATIONS</t>
  </si>
  <si>
    <t>All calculations reference Raw Data sheet</t>
  </si>
  <si>
    <t>SECTION 1: INDIVIDUAL POSITION RETURNS</t>
  </si>
  <si>
    <t>Formula: Total Return % = (Current Value - Initial Value) / Initial Value × 100</t>
  </si>
  <si>
    <t>Initial Value</t>
  </si>
  <si>
    <t>Current Value</t>
  </si>
  <si>
    <t>Gain/Loss $</t>
  </si>
  <si>
    <t>Return %</t>
  </si>
  <si>
    <t>Formula Shown</t>
  </si>
  <si>
    <t>TOTAL PORTFOLIO</t>
  </si>
  <si>
    <t>PORTFOLIO VOLATILITY &amp; STANDARD DEVIATION</t>
  </si>
  <si>
    <t>All monthly returns data from Raw Data sheet</t>
  </si>
  <si>
    <t>SECTION 1: MONTHLY RETURNS (from Raw Data sheet)</t>
  </si>
  <si>
    <t>Security</t>
  </si>
  <si>
    <t>Mean</t>
  </si>
  <si>
    <t>Std Dev</t>
  </si>
  <si>
    <t>SECTION 2: ANNUALIZED VOLATILITY CALCULATION</t>
  </si>
  <si>
    <t>Formula: Annualized Volatility = Monthly Std Dev × SQRT(12)</t>
  </si>
  <si>
    <t>Step 1: Calculate Portfolio Monthly Returns (Weighted Average)</t>
  </si>
  <si>
    <t>Portfolio weights calculated from position values in Return Calculations sheet</t>
  </si>
  <si>
    <t>Month</t>
  </si>
  <si>
    <t>Portfolio Return</t>
  </si>
  <si>
    <t>Formula</t>
  </si>
  <si>
    <t>Weighted avg of B6:B15</t>
  </si>
  <si>
    <t>Weighted avg of C6:C15</t>
  </si>
  <si>
    <t>Weighted avg of D6:D15</t>
  </si>
  <si>
    <t>Weighted avg of E6:E15</t>
  </si>
  <si>
    <t>Weighted avg of F6:F15</t>
  </si>
  <si>
    <t>Weighted avg of G6:G15</t>
  </si>
  <si>
    <t>Weighted avg of H6:H15</t>
  </si>
  <si>
    <t>Weighted avg of I6:I15</t>
  </si>
  <si>
    <t>Weighted avg of J6:J15</t>
  </si>
  <si>
    <t>Weighted avg of K6:K15</t>
  </si>
  <si>
    <t>Weighted avg of L6:L15</t>
  </si>
  <si>
    <t>Weighted avg of M6:M15</t>
  </si>
  <si>
    <t>Step 2: Calculate Monthly Standard Deviation</t>
  </si>
  <si>
    <t>Monthly Std Dev:</t>
  </si>
  <si>
    <t>Step 3: Annualize the Volatility</t>
  </si>
  <si>
    <t>Annualized Volatility:</t>
  </si>
  <si>
    <t>SHARPE RATIO CALCULATION</t>
  </si>
  <si>
    <t>Risk-Adjusted Performance Measurement</t>
  </si>
  <si>
    <t>Formula: Sharpe Ratio = (Portfolio Return - Risk-Free Rate) / Portfolio Volatility</t>
  </si>
  <si>
    <t>STEP 1: CALCULATE ANNUALIZED PORTFOLIO RETURN</t>
  </si>
  <si>
    <t>Mean Monthly Return:</t>
  </si>
  <si>
    <t>Annualized Return:</t>
  </si>
  <si>
    <t>STEP 2: RISK-FREE RATE</t>
  </si>
  <si>
    <t>Risk-Free Rate (Annual):</t>
  </si>
  <si>
    <t>From Raw Data sheet (US T-Bill)</t>
  </si>
  <si>
    <t>STEP 3: CALCULATE EXCESS RETURN</t>
  </si>
  <si>
    <t>Excess Return:</t>
  </si>
  <si>
    <t>STEP 4: CALCULATE SHARPE RATIO</t>
  </si>
  <si>
    <t>Portfolio Volatility:</t>
  </si>
  <si>
    <t>From Volatility Calculations sheet</t>
  </si>
  <si>
    <t>SHARPE RATIO:</t>
  </si>
  <si>
    <t>Interpretation: Sharpe Ratio &gt; 2.0 is considered excellent risk-adjusted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</si>
</sst>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"/>
    <numFmt numFmtId="166" formatCode="\$#,##0"/>
    <numFmt numFmtId="167" formatCode="0.000000000000000%"/>
    <numFmt numFmtId="168" formatCode="0.00000000000000%"/>
  </numFmts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FF"/>
      <name val="Calibri"/>
      <family val="2"/>
    </font>
    <font>
      <b/>
      <sz val="9"/>
      <color rgb="FFFFFFFF"/>
      <name val="Calibri"/>
      <family val="2"/>
    </font>
    <font>
      <b/>
      <sz val="9"/>
      <name val="Calibri"/>
      <family val="2"/>
    </font>
    <font>
      <sz val="9"/>
      <color rgb="FF0000FF"/>
      <name val="Calibri"/>
      <family val="2"/>
    </font>
    <font>
      <b/>
      <sz val="9"/>
      <color rgb="FF0000FF"/>
      <name val="Calibri"/>
      <family val="2"/>
    </font>
    <font>
      <sz val="10"/>
      <name val="Calibri"/>
      <family val="2"/>
    </font>
    <font>
      <b/>
      <sz val="10"/>
      <color rgb="FF0000FF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color rgb="FF008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9"/>
      <color rgb="FF008000"/>
      <name val="Calibri"/>
      <family val="2"/>
    </font>
    <font>
      <sz val="8"/>
      <name val="Calibri"/>
      <family val="2"/>
    </font>
    <font>
      <i/>
      <sz val="11"/>
      <name val="Calibri"/>
      <family val="2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B2F4F"/>
        <bgColor rgb="FF1B2F4F"/>
      </patternFill>
    </fill>
    <fill>
      <patternFill patternType="solid">
        <fgColor rgb="FF4472C4"/>
        <bgColor rgb="FF4472C4"/>
      </patternFill>
    </fill>
    <fill>
      <patternFill patternType="solid">
        <fgColor rgb="FFC0C0C0"/>
        <bgColor rgb="FFC0C0C0"/>
      </patternFill>
    </fill>
    <fill>
      <patternFill patternType="solid">
        <fgColor rgb="FFFFF2CC"/>
        <bgColor rgb="FFFFF2CC"/>
      </patternFill>
    </fill>
    <fill>
      <patternFill patternType="solid">
        <fgColor rgb="FFE8EEF7"/>
        <bgColor rgb="FFE8EEF7"/>
      </patternFill>
    </fill>
    <fill>
      <patternFill patternType="solid">
        <fgColor rgb="FF9DC3E6"/>
        <bgColor rgb="FF9DC3E6"/>
      </patternFill>
    </fill>
  </fills>
  <borders count="4">
    <border>
      <left/>
      <right/>
      <top/>
      <bottom/>
      <diagonal/>
    </border>
    <border>
      <left style="thin">
        <color rgb="FF1B2F4F"/>
      </left>
      <right style="thin">
        <color rgb="FF1B2F4F"/>
      </right>
      <top style="thin">
        <color rgb="FF1B2F4F"/>
      </top>
      <bottom style="thin">
        <color rgb="FF1B2F4F"/>
      </bottom>
      <diagonal/>
    </border>
    <border>
      <left/>
      <right/>
      <top style="thin">
        <color rgb="FF1B2F4F"/>
      </top>
      <bottom style="thin">
        <color rgb="FF1B2F4F"/>
      </bottom>
      <diagonal/>
    </border>
    <border>
      <left/>
      <right style="thin">
        <color rgb="FF1B2F4F"/>
      </right>
      <top style="thin">
        <color rgb="FF1B2F4F"/>
      </top>
      <bottom style="thin">
        <color rgb="FF1B2F4F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165" fontId="8" fillId="0" borderId="1" xfId="0" applyNumberFormat="1" applyFont="1" applyBorder="1" applyAlignment="1">
      <alignment horizontal="center"/>
    </xf>
    <xf numFmtId="0" fontId="6" fillId="4" borderId="1" xfId="0" applyFont="1" applyFill="1" applyBorder="1"/>
    <xf numFmtId="165" fontId="9" fillId="4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10" fillId="0" borderId="1" xfId="0" applyFont="1" applyBorder="1"/>
    <xf numFmtId="165" fontId="11" fillId="0" borderId="1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13" fillId="0" borderId="1" xfId="0" applyFont="1" applyBorder="1"/>
    <xf numFmtId="3" fontId="14" fillId="0" borderId="1" xfId="0" applyNumberFormat="1" applyFont="1" applyBorder="1"/>
    <xf numFmtId="164" fontId="14" fillId="0" borderId="1" xfId="0" applyNumberFormat="1" applyFont="1" applyBorder="1"/>
    <xf numFmtId="166" fontId="0" fillId="6" borderId="1" xfId="0" applyNumberFormat="1" applyFill="1" applyBorder="1"/>
    <xf numFmtId="166" fontId="0" fillId="0" borderId="1" xfId="0" applyNumberFormat="1" applyBorder="1"/>
    <xf numFmtId="10" fontId="13" fillId="0" borderId="1" xfId="0" applyNumberFormat="1" applyFont="1" applyBorder="1"/>
    <xf numFmtId="0" fontId="15" fillId="5" borderId="1" xfId="0" applyFont="1" applyFill="1" applyBorder="1" applyAlignment="1">
      <alignment horizontal="center"/>
    </xf>
    <xf numFmtId="166" fontId="13" fillId="4" borderId="1" xfId="0" applyNumberFormat="1" applyFont="1" applyFill="1" applyBorder="1"/>
    <xf numFmtId="10" fontId="16" fillId="4" borderId="1" xfId="0" applyNumberFormat="1" applyFont="1" applyFill="1" applyBorder="1"/>
    <xf numFmtId="10" fontId="17" fillId="0" borderId="1" xfId="0" applyNumberFormat="1" applyFont="1" applyBorder="1" applyAlignment="1">
      <alignment horizontal="center"/>
    </xf>
    <xf numFmtId="10" fontId="0" fillId="6" borderId="1" xfId="0" applyNumberFormat="1" applyFill="1" applyBorder="1"/>
    <xf numFmtId="0" fontId="13" fillId="0" borderId="0" xfId="0" applyFont="1"/>
    <xf numFmtId="0" fontId="6" fillId="2" borderId="1" xfId="0" applyFont="1" applyFill="1" applyBorder="1"/>
    <xf numFmtId="0" fontId="15" fillId="0" borderId="1" xfId="0" applyFont="1" applyBorder="1"/>
    <xf numFmtId="10" fontId="7" fillId="7" borderId="1" xfId="0" applyNumberFormat="1" applyFont="1" applyFill="1" applyBorder="1"/>
    <xf numFmtId="0" fontId="18" fillId="5" borderId="1" xfId="0" applyFont="1" applyFill="1" applyBorder="1"/>
    <xf numFmtId="10" fontId="13" fillId="6" borderId="1" xfId="0" applyNumberFormat="1" applyFont="1" applyFill="1" applyBorder="1"/>
    <xf numFmtId="0" fontId="15" fillId="5" borderId="1" xfId="0" applyFont="1" applyFill="1" applyBorder="1"/>
    <xf numFmtId="0" fontId="16" fillId="0" borderId="0" xfId="0" applyFont="1"/>
    <xf numFmtId="10" fontId="14" fillId="6" borderId="1" xfId="0" applyNumberFormat="1" applyFont="1" applyFill="1" applyBorder="1"/>
    <xf numFmtId="0" fontId="10" fillId="0" borderId="0" xfId="0" applyFont="1"/>
    <xf numFmtId="0" fontId="20" fillId="0" borderId="0" xfId="0" applyFont="1"/>
    <xf numFmtId="2" fontId="20" fillId="4" borderId="1" xfId="0" applyNumberFormat="1" applyFont="1" applyFill="1" applyBorder="1"/>
    <xf numFmtId="0" fontId="3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12" fillId="5" borderId="0" xfId="0" applyFont="1" applyFill="1"/>
    <xf numFmtId="0" fontId="4" fillId="2" borderId="1" xfId="0" applyFont="1" applyFill="1" applyBorder="1"/>
    <xf numFmtId="0" fontId="13" fillId="0" borderId="0" xfId="0" applyFont="1"/>
    <xf numFmtId="0" fontId="19" fillId="5" borderId="0" xfId="0" applyFont="1" applyFill="1"/>
    <xf numFmtId="0" fontId="15" fillId="5" borderId="0" xfId="0" applyFont="1" applyFill="1"/>
    <xf numFmtId="0" fontId="12" fillId="0" borderId="0" xfId="0" applyFont="1"/>
    <xf numFmtId="10" fontId="15" fillId="5" borderId="0" xfId="0" applyNumberFormat="1" applyFont="1" applyFill="1"/>
    <xf numFmtId="167" fontId="15" fillId="5" borderId="0" xfId="0" applyNumberFormat="1" applyFont="1" applyFill="1"/>
    <xf numFmtId="168" fontId="13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22" customWidth="1"/>
    <col min="4" max="4" width="10" customWidth="1"/>
    <col min="5" max="6" width="14" customWidth="1"/>
  </cols>
  <sheetData>
    <row r="1" spans="1:7" ht="19" x14ac:dyDescent="0.2">
      <c r="A1" s="41" t="s">
        <v>0</v>
      </c>
      <c r="B1" s="40"/>
      <c r="C1" s="40"/>
      <c r="D1" s="40"/>
      <c r="E1" s="40"/>
      <c r="F1" s="40"/>
      <c r="G1" s="40"/>
    </row>
    <row r="2" spans="1:7" x14ac:dyDescent="0.2">
      <c r="A2" s="45" t="s">
        <v>1</v>
      </c>
      <c r="B2" s="40"/>
      <c r="C2" s="40"/>
      <c r="D2" s="40"/>
      <c r="E2" s="40"/>
      <c r="F2" s="40"/>
      <c r="G2" s="40"/>
    </row>
    <row r="4" spans="1:7" x14ac:dyDescent="0.2">
      <c r="A4" s="39" t="s">
        <v>2</v>
      </c>
      <c r="B4" s="40"/>
      <c r="C4" s="40"/>
      <c r="D4" s="40"/>
      <c r="E4" s="40"/>
      <c r="F4" s="40"/>
      <c r="G4" s="40"/>
    </row>
    <row r="5" spans="1:7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7" x14ac:dyDescent="0.2">
      <c r="A6" s="2" t="s">
        <v>9</v>
      </c>
      <c r="B6" s="3" t="s">
        <v>10</v>
      </c>
      <c r="C6" s="4" t="s">
        <v>11</v>
      </c>
      <c r="D6" s="5">
        <v>150</v>
      </c>
      <c r="E6" s="6">
        <v>150</v>
      </c>
      <c r="F6" s="6">
        <v>185.5</v>
      </c>
    </row>
    <row r="7" spans="1:7" x14ac:dyDescent="0.2">
      <c r="A7" s="2" t="s">
        <v>12</v>
      </c>
      <c r="B7" s="3" t="s">
        <v>13</v>
      </c>
      <c r="C7" s="4" t="s">
        <v>11</v>
      </c>
      <c r="D7" s="5">
        <v>100</v>
      </c>
      <c r="E7" s="6">
        <v>250</v>
      </c>
      <c r="F7" s="6">
        <v>310.25</v>
      </c>
    </row>
    <row r="8" spans="1:7" x14ac:dyDescent="0.2">
      <c r="A8" s="2" t="s">
        <v>14</v>
      </c>
      <c r="B8" s="3" t="s">
        <v>15</v>
      </c>
      <c r="C8" s="4" t="s">
        <v>16</v>
      </c>
      <c r="D8" s="5">
        <v>80</v>
      </c>
      <c r="E8" s="6">
        <v>160</v>
      </c>
      <c r="F8" s="6">
        <v>168.75</v>
      </c>
    </row>
    <row r="9" spans="1:7" x14ac:dyDescent="0.2">
      <c r="A9" s="2" t="s">
        <v>17</v>
      </c>
      <c r="B9" s="3" t="s">
        <v>18</v>
      </c>
      <c r="C9" s="4" t="s">
        <v>19</v>
      </c>
      <c r="D9" s="5">
        <v>120</v>
      </c>
      <c r="E9" s="6">
        <v>140</v>
      </c>
      <c r="F9" s="6">
        <v>152.30000000000001</v>
      </c>
    </row>
    <row r="10" spans="1:7" x14ac:dyDescent="0.2">
      <c r="A10" s="2" t="s">
        <v>20</v>
      </c>
      <c r="B10" s="3" t="s">
        <v>21</v>
      </c>
      <c r="C10" s="4" t="s">
        <v>22</v>
      </c>
      <c r="D10" s="5">
        <v>200</v>
      </c>
      <c r="E10" s="6">
        <v>105</v>
      </c>
      <c r="F10" s="6">
        <v>112.8</v>
      </c>
    </row>
    <row r="11" spans="1:7" x14ac:dyDescent="0.2">
      <c r="A11" s="2" t="s">
        <v>23</v>
      </c>
      <c r="B11" s="3" t="s">
        <v>24</v>
      </c>
      <c r="C11" s="4" t="s">
        <v>25</v>
      </c>
      <c r="D11" s="5">
        <v>90</v>
      </c>
      <c r="E11" s="6">
        <v>145</v>
      </c>
      <c r="F11" s="6">
        <v>156.9</v>
      </c>
    </row>
    <row r="12" spans="1:7" x14ac:dyDescent="0.2">
      <c r="A12" s="2" t="s">
        <v>26</v>
      </c>
      <c r="B12" s="3" t="s">
        <v>27</v>
      </c>
      <c r="C12" s="4" t="s">
        <v>28</v>
      </c>
      <c r="D12" s="5">
        <v>60</v>
      </c>
      <c r="E12" s="6">
        <v>145</v>
      </c>
      <c r="F12" s="6">
        <v>162.35</v>
      </c>
    </row>
    <row r="13" spans="1:7" x14ac:dyDescent="0.2">
      <c r="A13" s="2" t="s">
        <v>29</v>
      </c>
      <c r="B13" s="3" t="s">
        <v>30</v>
      </c>
      <c r="C13" s="4" t="s">
        <v>19</v>
      </c>
      <c r="D13" s="5">
        <v>70</v>
      </c>
      <c r="E13" s="6">
        <v>230</v>
      </c>
      <c r="F13" s="6">
        <v>248.6</v>
      </c>
    </row>
    <row r="14" spans="1:7" x14ac:dyDescent="0.2">
      <c r="A14" s="2" t="s">
        <v>31</v>
      </c>
      <c r="B14" s="3" t="s">
        <v>32</v>
      </c>
      <c r="C14" s="4" t="s">
        <v>16</v>
      </c>
      <c r="D14" s="5">
        <v>50</v>
      </c>
      <c r="E14" s="6">
        <v>480</v>
      </c>
      <c r="F14" s="6">
        <v>512.4</v>
      </c>
    </row>
    <row r="15" spans="1:7" x14ac:dyDescent="0.2">
      <c r="A15" s="2" t="s">
        <v>33</v>
      </c>
      <c r="B15" s="3" t="s">
        <v>34</v>
      </c>
      <c r="C15" s="4" t="s">
        <v>35</v>
      </c>
      <c r="D15" s="5">
        <v>400</v>
      </c>
      <c r="E15" s="6">
        <v>18</v>
      </c>
      <c r="F15" s="6">
        <v>19.25</v>
      </c>
    </row>
    <row r="18" spans="1:14" x14ac:dyDescent="0.2">
      <c r="A18" s="39" t="s">
        <v>36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</row>
    <row r="19" spans="1:14" x14ac:dyDescent="0.2">
      <c r="A19" s="7" t="s">
        <v>3</v>
      </c>
      <c r="B19" s="7" t="s">
        <v>37</v>
      </c>
      <c r="C19" s="7" t="s">
        <v>38</v>
      </c>
      <c r="D19" s="7" t="s">
        <v>39</v>
      </c>
      <c r="E19" s="7" t="s">
        <v>40</v>
      </c>
      <c r="F19" s="7" t="s">
        <v>41</v>
      </c>
      <c r="G19" s="7" t="s">
        <v>42</v>
      </c>
      <c r="H19" s="7" t="s">
        <v>43</v>
      </c>
      <c r="I19" s="7" t="s">
        <v>44</v>
      </c>
      <c r="J19" s="7" t="s">
        <v>45</v>
      </c>
      <c r="K19" s="7" t="s">
        <v>46</v>
      </c>
      <c r="L19" s="7" t="s">
        <v>47</v>
      </c>
      <c r="M19" s="7" t="s">
        <v>48</v>
      </c>
    </row>
    <row r="20" spans="1:14" x14ac:dyDescent="0.2">
      <c r="A20" s="8" t="s">
        <v>9</v>
      </c>
      <c r="B20" s="9">
        <v>5.0999999999999996</v>
      </c>
      <c r="C20" s="9">
        <v>2.5</v>
      </c>
      <c r="D20" s="9">
        <v>6.4</v>
      </c>
      <c r="E20" s="9">
        <v>-1.2</v>
      </c>
      <c r="F20" s="9">
        <v>4.8</v>
      </c>
      <c r="G20" s="9">
        <v>4.4000000000000004</v>
      </c>
      <c r="H20" s="9">
        <v>2.2000000000000002</v>
      </c>
      <c r="I20" s="9">
        <v>4.5999999999999996</v>
      </c>
      <c r="J20" s="9">
        <v>-0.8</v>
      </c>
      <c r="K20" s="9">
        <v>3.3</v>
      </c>
      <c r="L20" s="9">
        <v>3.7</v>
      </c>
      <c r="M20" s="9">
        <v>3.2</v>
      </c>
    </row>
    <row r="21" spans="1:14" x14ac:dyDescent="0.2">
      <c r="A21" s="8" t="s">
        <v>12</v>
      </c>
      <c r="B21" s="9">
        <v>5.5</v>
      </c>
      <c r="C21" s="9">
        <v>3.1</v>
      </c>
      <c r="D21" s="9">
        <v>7.2</v>
      </c>
      <c r="E21" s="9">
        <v>-1.5</v>
      </c>
      <c r="F21" s="9">
        <v>5.2</v>
      </c>
      <c r="G21" s="9">
        <v>4.0999999999999996</v>
      </c>
      <c r="H21" s="9">
        <v>2.8</v>
      </c>
      <c r="I21" s="9">
        <v>5.0999999999999996</v>
      </c>
      <c r="J21" s="9">
        <v>-1.1000000000000001</v>
      </c>
      <c r="K21" s="9">
        <v>3.8</v>
      </c>
      <c r="L21" s="9">
        <v>4.2</v>
      </c>
      <c r="M21" s="9">
        <v>3.6</v>
      </c>
    </row>
    <row r="22" spans="1:14" x14ac:dyDescent="0.2">
      <c r="A22" s="8" t="s">
        <v>14</v>
      </c>
      <c r="B22" s="9">
        <v>1.8</v>
      </c>
      <c r="C22" s="9">
        <v>1.2</v>
      </c>
      <c r="D22" s="9">
        <v>2.5</v>
      </c>
      <c r="E22" s="9">
        <v>-0.8</v>
      </c>
      <c r="F22" s="9">
        <v>2.2000000000000002</v>
      </c>
      <c r="G22" s="9">
        <v>1.9</v>
      </c>
      <c r="H22" s="9">
        <v>1.1000000000000001</v>
      </c>
      <c r="I22" s="9">
        <v>2</v>
      </c>
      <c r="J22" s="9">
        <v>-0.5</v>
      </c>
      <c r="K22" s="9">
        <v>1.5</v>
      </c>
      <c r="L22" s="9">
        <v>1.8</v>
      </c>
      <c r="M22" s="9">
        <v>1.4</v>
      </c>
    </row>
    <row r="23" spans="1:14" x14ac:dyDescent="0.2">
      <c r="A23" s="8" t="s">
        <v>17</v>
      </c>
      <c r="B23" s="9">
        <v>4.2</v>
      </c>
      <c r="C23" s="9">
        <v>2.1</v>
      </c>
      <c r="D23" s="9">
        <v>5.5</v>
      </c>
      <c r="E23" s="9">
        <v>-1.8</v>
      </c>
      <c r="F23" s="9">
        <v>3.8</v>
      </c>
      <c r="G23" s="9">
        <v>3.5</v>
      </c>
      <c r="H23" s="9">
        <v>1.9</v>
      </c>
      <c r="I23" s="9">
        <v>3.9</v>
      </c>
      <c r="J23" s="9">
        <v>-1.2</v>
      </c>
      <c r="K23" s="9">
        <v>2.8</v>
      </c>
      <c r="L23" s="9">
        <v>3.2</v>
      </c>
      <c r="M23" s="9">
        <v>2.6</v>
      </c>
    </row>
    <row r="24" spans="1:14" x14ac:dyDescent="0.2">
      <c r="A24" s="8" t="s">
        <v>20</v>
      </c>
      <c r="B24" s="9">
        <v>3.5</v>
      </c>
      <c r="C24" s="9">
        <v>1.8</v>
      </c>
      <c r="D24" s="9">
        <v>4.8</v>
      </c>
      <c r="E24" s="9">
        <v>-2.2000000000000002</v>
      </c>
      <c r="F24" s="9">
        <v>3.1</v>
      </c>
      <c r="G24" s="9">
        <v>2.8</v>
      </c>
      <c r="H24" s="9">
        <v>1.5</v>
      </c>
      <c r="I24" s="9">
        <v>3.2</v>
      </c>
      <c r="J24" s="9">
        <v>-1.5</v>
      </c>
      <c r="K24" s="9">
        <v>2.4</v>
      </c>
      <c r="L24" s="9">
        <v>2.7</v>
      </c>
      <c r="M24" s="9">
        <v>2.1</v>
      </c>
    </row>
    <row r="25" spans="1:14" x14ac:dyDescent="0.2">
      <c r="A25" s="8" t="s">
        <v>23</v>
      </c>
      <c r="B25" s="9">
        <v>2.8</v>
      </c>
      <c r="C25" s="9">
        <v>1.5</v>
      </c>
      <c r="D25" s="9">
        <v>3.5</v>
      </c>
      <c r="E25" s="9">
        <v>-1</v>
      </c>
      <c r="F25" s="9">
        <v>2.5</v>
      </c>
      <c r="G25" s="9">
        <v>2.2000000000000002</v>
      </c>
      <c r="H25" s="9">
        <v>1.3</v>
      </c>
      <c r="I25" s="9">
        <v>2.4</v>
      </c>
      <c r="J25" s="9">
        <v>-0.7</v>
      </c>
      <c r="K25" s="9">
        <v>1.9</v>
      </c>
      <c r="L25" s="9">
        <v>2.1</v>
      </c>
      <c r="M25" s="9">
        <v>1.7</v>
      </c>
    </row>
    <row r="26" spans="1:14" x14ac:dyDescent="0.2">
      <c r="A26" s="8" t="s">
        <v>26</v>
      </c>
      <c r="B26" s="9">
        <v>6.2</v>
      </c>
      <c r="C26" s="9">
        <v>3.5</v>
      </c>
      <c r="D26" s="9">
        <v>7.8</v>
      </c>
      <c r="E26" s="9">
        <v>-2.5</v>
      </c>
      <c r="F26" s="9">
        <v>5.5</v>
      </c>
      <c r="G26" s="9">
        <v>4.8</v>
      </c>
      <c r="H26" s="9">
        <v>3.2</v>
      </c>
      <c r="I26" s="9">
        <v>5.4</v>
      </c>
      <c r="J26" s="9">
        <v>-1.8</v>
      </c>
      <c r="K26" s="9">
        <v>4.0999999999999996</v>
      </c>
      <c r="L26" s="9">
        <v>4.5999999999999996</v>
      </c>
      <c r="M26" s="9">
        <v>3.8</v>
      </c>
    </row>
    <row r="27" spans="1:14" x14ac:dyDescent="0.2">
      <c r="A27" s="8" t="s">
        <v>29</v>
      </c>
      <c r="B27" s="9">
        <v>4.5</v>
      </c>
      <c r="C27" s="9">
        <v>2.4</v>
      </c>
      <c r="D27" s="9">
        <v>5.8</v>
      </c>
      <c r="E27" s="9">
        <v>-1.4</v>
      </c>
      <c r="F27" s="9">
        <v>4.0999999999999996</v>
      </c>
      <c r="G27" s="9">
        <v>3.7</v>
      </c>
      <c r="H27" s="9">
        <v>2.1</v>
      </c>
      <c r="I27" s="9">
        <v>4.2</v>
      </c>
      <c r="J27" s="9">
        <v>-1</v>
      </c>
      <c r="K27" s="9">
        <v>3.1</v>
      </c>
      <c r="L27" s="9">
        <v>3.5</v>
      </c>
      <c r="M27" s="9">
        <v>2.9</v>
      </c>
    </row>
    <row r="28" spans="1:14" x14ac:dyDescent="0.2">
      <c r="A28" s="8" t="s">
        <v>31</v>
      </c>
      <c r="B28" s="9">
        <v>3.8</v>
      </c>
      <c r="C28" s="9">
        <v>2</v>
      </c>
      <c r="D28" s="9">
        <v>5.0999999999999996</v>
      </c>
      <c r="E28" s="9">
        <v>-1.6</v>
      </c>
      <c r="F28" s="9">
        <v>3.5</v>
      </c>
      <c r="G28" s="9">
        <v>3.1</v>
      </c>
      <c r="H28" s="9">
        <v>1.8</v>
      </c>
      <c r="I28" s="9">
        <v>3.6</v>
      </c>
      <c r="J28" s="9">
        <v>-1.1000000000000001</v>
      </c>
      <c r="K28" s="9">
        <v>2.7</v>
      </c>
      <c r="L28" s="9">
        <v>3</v>
      </c>
      <c r="M28" s="9">
        <v>2.5</v>
      </c>
    </row>
    <row r="29" spans="1:14" x14ac:dyDescent="0.2">
      <c r="A29" s="8" t="s">
        <v>33</v>
      </c>
      <c r="B29" s="9">
        <v>2.5</v>
      </c>
      <c r="C29" s="9">
        <v>1.3</v>
      </c>
      <c r="D29" s="9">
        <v>3.2</v>
      </c>
      <c r="E29" s="9">
        <v>-0.9</v>
      </c>
      <c r="F29" s="9">
        <v>2.2999999999999998</v>
      </c>
      <c r="G29" s="9">
        <v>2</v>
      </c>
      <c r="H29" s="9">
        <v>1.2</v>
      </c>
      <c r="I29" s="9">
        <v>2.2000000000000002</v>
      </c>
      <c r="J29" s="9">
        <v>-0.6</v>
      </c>
      <c r="K29" s="9">
        <v>1.7</v>
      </c>
      <c r="L29" s="9">
        <v>1.9</v>
      </c>
      <c r="M29" s="9">
        <v>1.5</v>
      </c>
    </row>
    <row r="30" spans="1:14" x14ac:dyDescent="0.2">
      <c r="A30" s="10" t="s">
        <v>49</v>
      </c>
      <c r="B30" s="11">
        <v>4.5</v>
      </c>
      <c r="C30" s="11">
        <v>2.2999999999999998</v>
      </c>
      <c r="D30" s="11">
        <v>5.8</v>
      </c>
      <c r="E30" s="11">
        <v>-1.6</v>
      </c>
      <c r="F30" s="11">
        <v>4.2</v>
      </c>
      <c r="G30" s="11">
        <v>3.8</v>
      </c>
      <c r="H30" s="11">
        <v>2</v>
      </c>
      <c r="I30" s="11">
        <v>4.3</v>
      </c>
      <c r="J30" s="11">
        <v>-1.2</v>
      </c>
      <c r="K30" s="11">
        <v>3</v>
      </c>
      <c r="L30" s="11">
        <v>3.4</v>
      </c>
      <c r="M30" s="11">
        <v>2.8</v>
      </c>
    </row>
    <row r="32" spans="1:14" x14ac:dyDescent="0.2">
      <c r="A32" s="39" t="s">
        <v>50</v>
      </c>
      <c r="B32" s="40"/>
      <c r="C32" s="40"/>
      <c r="D32" s="40"/>
    </row>
    <row r="33" spans="1:4" x14ac:dyDescent="0.2">
      <c r="A33" s="12" t="s">
        <v>51</v>
      </c>
      <c r="B33" s="12" t="s">
        <v>52</v>
      </c>
    </row>
    <row r="34" spans="1:4" x14ac:dyDescent="0.2">
      <c r="A34" s="13" t="s">
        <v>53</v>
      </c>
      <c r="B34" s="14">
        <v>4.5</v>
      </c>
    </row>
    <row r="35" spans="1:4" x14ac:dyDescent="0.2">
      <c r="A35" s="13" t="s">
        <v>54</v>
      </c>
      <c r="B35" s="42" t="s">
        <v>55</v>
      </c>
      <c r="C35" s="43"/>
      <c r="D35" s="44"/>
    </row>
  </sheetData>
  <mergeCells count="6">
    <mergeCell ref="A18:N18"/>
    <mergeCell ref="A1:G1"/>
    <mergeCell ref="B35:D35"/>
    <mergeCell ref="A4:G4"/>
    <mergeCell ref="A2:G2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selection activeCell="E7" sqref="E7"/>
    </sheetView>
  </sheetViews>
  <sheetFormatPr baseColWidth="10" defaultColWidth="8.83203125" defaultRowHeight="15" x14ac:dyDescent="0.2"/>
  <cols>
    <col min="1" max="2" width="10" customWidth="1"/>
    <col min="3" max="6" width="14" customWidth="1"/>
    <col min="7" max="7" width="13" customWidth="1"/>
    <col min="8" max="8" width="11" customWidth="1"/>
    <col min="9" max="9" width="22" customWidth="1"/>
  </cols>
  <sheetData>
    <row r="1" spans="1:10" ht="19" x14ac:dyDescent="0.2">
      <c r="A1" s="41" t="s">
        <v>56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2">
      <c r="A2" s="45" t="s">
        <v>57</v>
      </c>
      <c r="B2" s="40"/>
      <c r="C2" s="40"/>
      <c r="D2" s="40"/>
      <c r="E2" s="40"/>
      <c r="F2" s="40"/>
      <c r="G2" s="40"/>
      <c r="H2" s="40"/>
      <c r="I2" s="40"/>
      <c r="J2" s="40"/>
    </row>
    <row r="4" spans="1:10" x14ac:dyDescent="0.2">
      <c r="A4" s="39" t="s">
        <v>58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x14ac:dyDescent="0.2">
      <c r="A5" s="46" t="s">
        <v>59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x14ac:dyDescent="0.2">
      <c r="A6" s="15" t="s">
        <v>3</v>
      </c>
      <c r="B6" s="15" t="s">
        <v>6</v>
      </c>
      <c r="C6" s="15" t="s">
        <v>7</v>
      </c>
      <c r="D6" s="15" t="s">
        <v>8</v>
      </c>
      <c r="E6" s="15" t="s">
        <v>60</v>
      </c>
      <c r="F6" s="15" t="s">
        <v>61</v>
      </c>
      <c r="G6" s="15" t="s">
        <v>62</v>
      </c>
      <c r="H6" s="15" t="s">
        <v>63</v>
      </c>
      <c r="I6" s="15" t="s">
        <v>64</v>
      </c>
    </row>
    <row r="7" spans="1:10" x14ac:dyDescent="0.2">
      <c r="A7" s="16" t="str">
        <f>'Raw Data'!A6</f>
        <v>AAPL</v>
      </c>
      <c r="B7" s="17">
        <f>'Raw Data'!D6</f>
        <v>150</v>
      </c>
      <c r="C7" s="18">
        <f>'Raw Data'!E6</f>
        <v>150</v>
      </c>
      <c r="D7" s="18">
        <f>'Raw Data'!F6</f>
        <v>185.5</v>
      </c>
      <c r="E7" s="19">
        <f t="shared" ref="E7:E16" si="0">B7*C7</f>
        <v>22500</v>
      </c>
      <c r="F7" s="19">
        <f t="shared" ref="F7:F16" si="1">B7*D7</f>
        <v>27825</v>
      </c>
      <c r="G7" s="20">
        <f t="shared" ref="G7:G17" si="2">F7-E7</f>
        <v>5325</v>
      </c>
      <c r="H7" s="21">
        <f t="shared" ref="H7:H17" si="3">(F7-E7)/E7</f>
        <v>0.23666666666666666</v>
      </c>
      <c r="I7" s="22">
        <f t="shared" ref="I7:I16" si="4">(F7-E7)/E7</f>
        <v>0.23666666666666666</v>
      </c>
    </row>
    <row r="8" spans="1:10" x14ac:dyDescent="0.2">
      <c r="A8" s="16" t="str">
        <f>'Raw Data'!A7</f>
        <v>MSFT</v>
      </c>
      <c r="B8" s="17">
        <f>'Raw Data'!D7</f>
        <v>100</v>
      </c>
      <c r="C8" s="18">
        <f>'Raw Data'!E7</f>
        <v>250</v>
      </c>
      <c r="D8" s="18">
        <f>'Raw Data'!F7</f>
        <v>310.25</v>
      </c>
      <c r="E8" s="19">
        <f t="shared" si="0"/>
        <v>25000</v>
      </c>
      <c r="F8" s="19">
        <f t="shared" si="1"/>
        <v>31025</v>
      </c>
      <c r="G8" s="20">
        <f t="shared" si="2"/>
        <v>6025</v>
      </c>
      <c r="H8" s="21">
        <f t="shared" si="3"/>
        <v>0.24099999999999999</v>
      </c>
      <c r="I8" s="22">
        <f t="shared" si="4"/>
        <v>0.24099999999999999</v>
      </c>
    </row>
    <row r="9" spans="1:10" x14ac:dyDescent="0.2">
      <c r="A9" s="16" t="str">
        <f>'Raw Data'!A8</f>
        <v>JNJ</v>
      </c>
      <c r="B9" s="17">
        <f>'Raw Data'!D8</f>
        <v>80</v>
      </c>
      <c r="C9" s="18">
        <f>'Raw Data'!E8</f>
        <v>160</v>
      </c>
      <c r="D9" s="18">
        <f>'Raw Data'!F8</f>
        <v>168.75</v>
      </c>
      <c r="E9" s="19">
        <f t="shared" si="0"/>
        <v>12800</v>
      </c>
      <c r="F9" s="19">
        <f t="shared" si="1"/>
        <v>13500</v>
      </c>
      <c r="G9" s="20">
        <f t="shared" si="2"/>
        <v>700</v>
      </c>
      <c r="H9" s="21">
        <f t="shared" si="3"/>
        <v>5.46875E-2</v>
      </c>
      <c r="I9" s="22">
        <f t="shared" si="4"/>
        <v>5.46875E-2</v>
      </c>
    </row>
    <row r="10" spans="1:10" x14ac:dyDescent="0.2">
      <c r="A10" s="16" t="str">
        <f>'Raw Data'!A9</f>
        <v>JPM</v>
      </c>
      <c r="B10" s="17">
        <f>'Raw Data'!D9</f>
        <v>120</v>
      </c>
      <c r="C10" s="18">
        <f>'Raw Data'!E9</f>
        <v>140</v>
      </c>
      <c r="D10" s="18">
        <f>'Raw Data'!F9</f>
        <v>152.30000000000001</v>
      </c>
      <c r="E10" s="19">
        <f t="shared" si="0"/>
        <v>16800</v>
      </c>
      <c r="F10" s="19">
        <f t="shared" si="1"/>
        <v>18276</v>
      </c>
      <c r="G10" s="20">
        <f t="shared" si="2"/>
        <v>1476</v>
      </c>
      <c r="H10" s="21">
        <f t="shared" si="3"/>
        <v>8.7857142857142856E-2</v>
      </c>
      <c r="I10" s="22">
        <f t="shared" si="4"/>
        <v>8.7857142857142856E-2</v>
      </c>
    </row>
    <row r="11" spans="1:10" x14ac:dyDescent="0.2">
      <c r="A11" s="16" t="str">
        <f>'Raw Data'!A10</f>
        <v>XOM</v>
      </c>
      <c r="B11" s="17">
        <f>'Raw Data'!D10</f>
        <v>200</v>
      </c>
      <c r="C11" s="18">
        <f>'Raw Data'!E10</f>
        <v>105</v>
      </c>
      <c r="D11" s="18">
        <f>'Raw Data'!F10</f>
        <v>112.8</v>
      </c>
      <c r="E11" s="19">
        <f t="shared" si="0"/>
        <v>21000</v>
      </c>
      <c r="F11" s="19">
        <f t="shared" si="1"/>
        <v>22560</v>
      </c>
      <c r="G11" s="20">
        <f t="shared" si="2"/>
        <v>1560</v>
      </c>
      <c r="H11" s="21">
        <f t="shared" si="3"/>
        <v>7.4285714285714288E-2</v>
      </c>
      <c r="I11" s="22">
        <f t="shared" si="4"/>
        <v>7.4285714285714288E-2</v>
      </c>
    </row>
    <row r="12" spans="1:10" x14ac:dyDescent="0.2">
      <c r="A12" s="16" t="str">
        <f>'Raw Data'!A11</f>
        <v>PG</v>
      </c>
      <c r="B12" s="17">
        <f>'Raw Data'!D11</f>
        <v>90</v>
      </c>
      <c r="C12" s="18">
        <f>'Raw Data'!E11</f>
        <v>145</v>
      </c>
      <c r="D12" s="18">
        <f>'Raw Data'!F11</f>
        <v>156.9</v>
      </c>
      <c r="E12" s="19">
        <f t="shared" si="0"/>
        <v>13050</v>
      </c>
      <c r="F12" s="19">
        <f t="shared" si="1"/>
        <v>14121</v>
      </c>
      <c r="G12" s="20">
        <f t="shared" si="2"/>
        <v>1071</v>
      </c>
      <c r="H12" s="21">
        <f t="shared" si="3"/>
        <v>8.2068965517241382E-2</v>
      </c>
      <c r="I12" s="22">
        <f t="shared" si="4"/>
        <v>8.2068965517241382E-2</v>
      </c>
    </row>
    <row r="13" spans="1:10" x14ac:dyDescent="0.2">
      <c r="A13" s="16" t="str">
        <f>'Raw Data'!A12</f>
        <v>AMZN</v>
      </c>
      <c r="B13" s="17">
        <f>'Raw Data'!D12</f>
        <v>60</v>
      </c>
      <c r="C13" s="18">
        <f>'Raw Data'!E12</f>
        <v>145</v>
      </c>
      <c r="D13" s="18">
        <f>'Raw Data'!F12</f>
        <v>162.35</v>
      </c>
      <c r="E13" s="19">
        <f t="shared" si="0"/>
        <v>8700</v>
      </c>
      <c r="F13" s="19">
        <f t="shared" si="1"/>
        <v>9741</v>
      </c>
      <c r="G13" s="20">
        <f t="shared" si="2"/>
        <v>1041</v>
      </c>
      <c r="H13" s="21">
        <f t="shared" si="3"/>
        <v>0.1196551724137931</v>
      </c>
      <c r="I13" s="22">
        <f t="shared" si="4"/>
        <v>0.1196551724137931</v>
      </c>
    </row>
    <row r="14" spans="1:10" x14ac:dyDescent="0.2">
      <c r="A14" s="16" t="str">
        <f>'Raw Data'!A13</f>
        <v>V</v>
      </c>
      <c r="B14" s="17">
        <f>'Raw Data'!D13</f>
        <v>70</v>
      </c>
      <c r="C14" s="18">
        <f>'Raw Data'!E13</f>
        <v>230</v>
      </c>
      <c r="D14" s="18">
        <f>'Raw Data'!F13</f>
        <v>248.6</v>
      </c>
      <c r="E14" s="19">
        <f t="shared" si="0"/>
        <v>16100</v>
      </c>
      <c r="F14" s="19">
        <f t="shared" si="1"/>
        <v>17402</v>
      </c>
      <c r="G14" s="20">
        <f t="shared" si="2"/>
        <v>1302</v>
      </c>
      <c r="H14" s="21">
        <f t="shared" si="3"/>
        <v>8.0869565217391304E-2</v>
      </c>
      <c r="I14" s="22">
        <f t="shared" si="4"/>
        <v>8.0869565217391304E-2</v>
      </c>
    </row>
    <row r="15" spans="1:10" x14ac:dyDescent="0.2">
      <c r="A15" s="16" t="str">
        <f>'Raw Data'!A14</f>
        <v>UNH</v>
      </c>
      <c r="B15" s="17">
        <f>'Raw Data'!D14</f>
        <v>50</v>
      </c>
      <c r="C15" s="18">
        <f>'Raw Data'!E14</f>
        <v>480</v>
      </c>
      <c r="D15" s="18">
        <f>'Raw Data'!F14</f>
        <v>512.4</v>
      </c>
      <c r="E15" s="19">
        <f t="shared" si="0"/>
        <v>24000</v>
      </c>
      <c r="F15" s="19">
        <f t="shared" si="1"/>
        <v>25620</v>
      </c>
      <c r="G15" s="20">
        <f t="shared" si="2"/>
        <v>1620</v>
      </c>
      <c r="H15" s="21">
        <f t="shared" si="3"/>
        <v>6.7500000000000004E-2</v>
      </c>
      <c r="I15" s="22">
        <f t="shared" si="4"/>
        <v>6.7500000000000004E-2</v>
      </c>
    </row>
    <row r="16" spans="1:10" x14ac:dyDescent="0.2">
      <c r="A16" s="16" t="str">
        <f>'Raw Data'!A15</f>
        <v>T</v>
      </c>
      <c r="B16" s="17">
        <f>'Raw Data'!D15</f>
        <v>400</v>
      </c>
      <c r="C16" s="18">
        <f>'Raw Data'!E15</f>
        <v>18</v>
      </c>
      <c r="D16" s="18">
        <f>'Raw Data'!F15</f>
        <v>19.25</v>
      </c>
      <c r="E16" s="19">
        <f t="shared" si="0"/>
        <v>7200</v>
      </c>
      <c r="F16" s="19">
        <f t="shared" si="1"/>
        <v>7700</v>
      </c>
      <c r="G16" s="20">
        <f t="shared" si="2"/>
        <v>500</v>
      </c>
      <c r="H16" s="21">
        <f t="shared" si="3"/>
        <v>6.9444444444444448E-2</v>
      </c>
      <c r="I16" s="22">
        <f t="shared" si="4"/>
        <v>6.9444444444444448E-2</v>
      </c>
    </row>
    <row r="17" spans="1:8" x14ac:dyDescent="0.2">
      <c r="A17" s="47" t="s">
        <v>65</v>
      </c>
      <c r="B17" s="43"/>
      <c r="C17" s="43"/>
      <c r="D17" s="44"/>
      <c r="E17" s="23">
        <f>SUM(E7:E16)</f>
        <v>167150</v>
      </c>
      <c r="F17" s="23">
        <f>SUM(F7:F16)</f>
        <v>187770</v>
      </c>
      <c r="G17" s="23">
        <f t="shared" si="2"/>
        <v>20620</v>
      </c>
      <c r="H17" s="24">
        <f t="shared" si="3"/>
        <v>0.1233622494765181</v>
      </c>
    </row>
  </sheetData>
  <mergeCells count="5">
    <mergeCell ref="A1:J1"/>
    <mergeCell ref="A5:J5"/>
    <mergeCell ref="A17:D17"/>
    <mergeCell ref="A4:J4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"/>
  <sheetViews>
    <sheetView workbookViewId="0">
      <selection activeCell="P8" sqref="P8"/>
    </sheetView>
  </sheetViews>
  <sheetFormatPr baseColWidth="10" defaultColWidth="8.83203125" defaultRowHeight="15" x14ac:dyDescent="0.2"/>
  <cols>
    <col min="1" max="1" width="32" bestFit="1" customWidth="1"/>
    <col min="2" max="2" width="11.33203125" bestFit="1" customWidth="1"/>
    <col min="3" max="3" width="14.83203125" bestFit="1" customWidth="1"/>
    <col min="4" max="4" width="5" bestFit="1" customWidth="1"/>
    <col min="5" max="5" width="5.5" bestFit="1" customWidth="1"/>
    <col min="6" max="9" width="5" bestFit="1" customWidth="1"/>
    <col min="10" max="10" width="5.5" bestFit="1" customWidth="1"/>
    <col min="11" max="13" width="5" bestFit="1" customWidth="1"/>
    <col min="14" max="14" width="6" bestFit="1" customWidth="1"/>
    <col min="15" max="15" width="7.33203125" bestFit="1" customWidth="1"/>
  </cols>
  <sheetData>
    <row r="1" spans="1:16" ht="19" x14ac:dyDescent="0.2">
      <c r="A1" s="41" t="s">
        <v>66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x14ac:dyDescent="0.2">
      <c r="A2" s="45" t="s">
        <v>67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</row>
    <row r="4" spans="1:16" x14ac:dyDescent="0.2">
      <c r="A4" s="39" t="s">
        <v>68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</row>
    <row r="5" spans="1:16" x14ac:dyDescent="0.2">
      <c r="A5" s="7" t="s">
        <v>69</v>
      </c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48</v>
      </c>
      <c r="N5" s="7" t="s">
        <v>70</v>
      </c>
      <c r="O5" s="7" t="s">
        <v>71</v>
      </c>
    </row>
    <row r="6" spans="1:16" x14ac:dyDescent="0.2">
      <c r="A6" s="8" t="str">
        <f>'Raw Data'!A21</f>
        <v>MSFT</v>
      </c>
      <c r="B6" s="25">
        <f>'Raw Data'!B21/100</f>
        <v>5.5E-2</v>
      </c>
      <c r="C6" s="25">
        <f>'Raw Data'!C21/100</f>
        <v>3.1E-2</v>
      </c>
      <c r="D6" s="25">
        <f>'Raw Data'!D21/100</f>
        <v>7.2000000000000008E-2</v>
      </c>
      <c r="E6" s="25">
        <f>'Raw Data'!E21/100</f>
        <v>-1.4999999999999999E-2</v>
      </c>
      <c r="F6" s="25">
        <f>'Raw Data'!F21/100</f>
        <v>5.2000000000000005E-2</v>
      </c>
      <c r="G6" s="25">
        <f>'Raw Data'!G21/100</f>
        <v>4.0999999999999995E-2</v>
      </c>
      <c r="H6" s="25">
        <f>'Raw Data'!H21/100</f>
        <v>2.7999999999999997E-2</v>
      </c>
      <c r="I6" s="25">
        <f>'Raw Data'!I21/100</f>
        <v>5.0999999999999997E-2</v>
      </c>
      <c r="J6" s="25">
        <f>'Raw Data'!J21/100</f>
        <v>-1.1000000000000001E-2</v>
      </c>
      <c r="K6" s="25">
        <f>'Raw Data'!K21/100</f>
        <v>3.7999999999999999E-2</v>
      </c>
      <c r="L6" s="25">
        <f>'Raw Data'!L21/100</f>
        <v>4.2000000000000003E-2</v>
      </c>
      <c r="M6" s="25">
        <f>'Raw Data'!M21/100</f>
        <v>3.6000000000000004E-2</v>
      </c>
      <c r="N6" s="26">
        <f t="shared" ref="N6:N15" si="0">AVERAGE(B6:M6)</f>
        <v>3.4999999999999996E-2</v>
      </c>
      <c r="O6" s="26">
        <f>_xlfn.STDEV.S(B6:M6)</f>
        <v>2.5387899766334654E-2</v>
      </c>
    </row>
    <row r="7" spans="1:16" x14ac:dyDescent="0.2">
      <c r="A7" s="8" t="str">
        <f>'Raw Data'!A22</f>
        <v>JNJ</v>
      </c>
      <c r="B7" s="25">
        <f>'Raw Data'!B22/100</f>
        <v>1.8000000000000002E-2</v>
      </c>
      <c r="C7" s="25">
        <f>'Raw Data'!C22/100</f>
        <v>1.2E-2</v>
      </c>
      <c r="D7" s="25">
        <f>'Raw Data'!D22/100</f>
        <v>2.5000000000000001E-2</v>
      </c>
      <c r="E7" s="25">
        <f>'Raw Data'!E22/100</f>
        <v>-8.0000000000000002E-3</v>
      </c>
      <c r="F7" s="25">
        <f>'Raw Data'!F22/100</f>
        <v>2.2000000000000002E-2</v>
      </c>
      <c r="G7" s="25">
        <f>'Raw Data'!G22/100</f>
        <v>1.9E-2</v>
      </c>
      <c r="H7" s="25">
        <f>'Raw Data'!H22/100</f>
        <v>1.1000000000000001E-2</v>
      </c>
      <c r="I7" s="25">
        <f>'Raw Data'!I22/100</f>
        <v>0.02</v>
      </c>
      <c r="J7" s="25">
        <f>'Raw Data'!J22/100</f>
        <v>-5.0000000000000001E-3</v>
      </c>
      <c r="K7" s="25">
        <f>'Raw Data'!K22/100</f>
        <v>1.4999999999999999E-2</v>
      </c>
      <c r="L7" s="25">
        <f>'Raw Data'!L22/100</f>
        <v>1.8000000000000002E-2</v>
      </c>
      <c r="M7" s="25">
        <f>'Raw Data'!M22/100</f>
        <v>1.3999999999999999E-2</v>
      </c>
      <c r="N7" s="26">
        <f t="shared" si="0"/>
        <v>1.3416666666666669E-2</v>
      </c>
      <c r="O7" s="26">
        <f t="shared" ref="O7:O15" si="1">_xlfn.STDEV.S(B7:M7)</f>
        <v>1.0148518327441902E-2</v>
      </c>
    </row>
    <row r="8" spans="1:16" x14ac:dyDescent="0.2">
      <c r="A8" s="8" t="str">
        <f>'Raw Data'!A23</f>
        <v>JPM</v>
      </c>
      <c r="B8" s="25">
        <f>'Raw Data'!B23/100</f>
        <v>4.2000000000000003E-2</v>
      </c>
      <c r="C8" s="25">
        <f>'Raw Data'!C23/100</f>
        <v>2.1000000000000001E-2</v>
      </c>
      <c r="D8" s="25">
        <f>'Raw Data'!D23/100</f>
        <v>5.5E-2</v>
      </c>
      <c r="E8" s="25">
        <f>'Raw Data'!E23/100</f>
        <v>-1.8000000000000002E-2</v>
      </c>
      <c r="F8" s="25">
        <f>'Raw Data'!F23/100</f>
        <v>3.7999999999999999E-2</v>
      </c>
      <c r="G8" s="25">
        <f>'Raw Data'!G23/100</f>
        <v>3.5000000000000003E-2</v>
      </c>
      <c r="H8" s="25">
        <f>'Raw Data'!H23/100</f>
        <v>1.9E-2</v>
      </c>
      <c r="I8" s="25">
        <f>'Raw Data'!I23/100</f>
        <v>3.9E-2</v>
      </c>
      <c r="J8" s="25">
        <f>'Raw Data'!J23/100</f>
        <v>-1.2E-2</v>
      </c>
      <c r="K8" s="25">
        <f>'Raw Data'!K23/100</f>
        <v>2.7999999999999997E-2</v>
      </c>
      <c r="L8" s="25">
        <f>'Raw Data'!L23/100</f>
        <v>3.2000000000000001E-2</v>
      </c>
      <c r="M8" s="25">
        <f>'Raw Data'!M23/100</f>
        <v>2.6000000000000002E-2</v>
      </c>
      <c r="N8" s="26">
        <f t="shared" si="0"/>
        <v>2.5416666666666667E-2</v>
      </c>
      <c r="O8" s="26">
        <f t="shared" si="1"/>
        <v>2.1279346936891791E-2</v>
      </c>
    </row>
    <row r="9" spans="1:16" x14ac:dyDescent="0.2">
      <c r="A9" s="8" t="str">
        <f>'Raw Data'!A24</f>
        <v>XOM</v>
      </c>
      <c r="B9" s="25">
        <f>'Raw Data'!B24/100</f>
        <v>3.5000000000000003E-2</v>
      </c>
      <c r="C9" s="25">
        <f>'Raw Data'!C24/100</f>
        <v>1.8000000000000002E-2</v>
      </c>
      <c r="D9" s="25">
        <f>'Raw Data'!D24/100</f>
        <v>4.8000000000000001E-2</v>
      </c>
      <c r="E9" s="25">
        <f>'Raw Data'!E24/100</f>
        <v>-2.2000000000000002E-2</v>
      </c>
      <c r="F9" s="25">
        <f>'Raw Data'!F24/100</f>
        <v>3.1E-2</v>
      </c>
      <c r="G9" s="25">
        <f>'Raw Data'!G24/100</f>
        <v>2.7999999999999997E-2</v>
      </c>
      <c r="H9" s="25">
        <f>'Raw Data'!H24/100</f>
        <v>1.4999999999999999E-2</v>
      </c>
      <c r="I9" s="25">
        <f>'Raw Data'!I24/100</f>
        <v>3.2000000000000001E-2</v>
      </c>
      <c r="J9" s="25">
        <f>'Raw Data'!J24/100</f>
        <v>-1.4999999999999999E-2</v>
      </c>
      <c r="K9" s="25">
        <f>'Raw Data'!K24/100</f>
        <v>2.4E-2</v>
      </c>
      <c r="L9" s="25">
        <f>'Raw Data'!L24/100</f>
        <v>2.7000000000000003E-2</v>
      </c>
      <c r="M9" s="25">
        <f>'Raw Data'!M24/100</f>
        <v>2.1000000000000001E-2</v>
      </c>
      <c r="N9" s="26">
        <f t="shared" si="0"/>
        <v>2.016666666666667E-2</v>
      </c>
      <c r="O9" s="26">
        <f t="shared" si="1"/>
        <v>2.004918195263081E-2</v>
      </c>
    </row>
    <row r="10" spans="1:16" x14ac:dyDescent="0.2">
      <c r="A10" s="8" t="str">
        <f>'Raw Data'!A25</f>
        <v>PG</v>
      </c>
      <c r="B10" s="25">
        <f>'Raw Data'!B25/100</f>
        <v>2.7999999999999997E-2</v>
      </c>
      <c r="C10" s="25">
        <f>'Raw Data'!C25/100</f>
        <v>1.4999999999999999E-2</v>
      </c>
      <c r="D10" s="25">
        <f>'Raw Data'!D25/100</f>
        <v>3.5000000000000003E-2</v>
      </c>
      <c r="E10" s="25">
        <f>'Raw Data'!E25/100</f>
        <v>-0.01</v>
      </c>
      <c r="F10" s="25">
        <f>'Raw Data'!F25/100</f>
        <v>2.5000000000000001E-2</v>
      </c>
      <c r="G10" s="25">
        <f>'Raw Data'!G25/100</f>
        <v>2.2000000000000002E-2</v>
      </c>
      <c r="H10" s="25">
        <f>'Raw Data'!H25/100</f>
        <v>1.3000000000000001E-2</v>
      </c>
      <c r="I10" s="25">
        <f>'Raw Data'!I25/100</f>
        <v>2.4E-2</v>
      </c>
      <c r="J10" s="25">
        <f>'Raw Data'!J25/100</f>
        <v>-6.9999999999999993E-3</v>
      </c>
      <c r="K10" s="25">
        <f>'Raw Data'!K25/100</f>
        <v>1.9E-2</v>
      </c>
      <c r="L10" s="25">
        <f>'Raw Data'!L25/100</f>
        <v>2.1000000000000001E-2</v>
      </c>
      <c r="M10" s="25">
        <f>'Raw Data'!M25/100</f>
        <v>1.7000000000000001E-2</v>
      </c>
      <c r="N10" s="26">
        <f t="shared" si="0"/>
        <v>1.6833333333333329E-2</v>
      </c>
      <c r="O10" s="26">
        <f t="shared" si="1"/>
        <v>1.3237916159366789E-2</v>
      </c>
    </row>
    <row r="11" spans="1:16" x14ac:dyDescent="0.2">
      <c r="A11" s="8" t="str">
        <f>'Raw Data'!A26</f>
        <v>AMZN</v>
      </c>
      <c r="B11" s="25">
        <f>'Raw Data'!B26/100</f>
        <v>6.2E-2</v>
      </c>
      <c r="C11" s="25">
        <f>'Raw Data'!C26/100</f>
        <v>3.5000000000000003E-2</v>
      </c>
      <c r="D11" s="25">
        <f>'Raw Data'!D26/100</f>
        <v>7.8E-2</v>
      </c>
      <c r="E11" s="25">
        <f>'Raw Data'!E26/100</f>
        <v>-2.5000000000000001E-2</v>
      </c>
      <c r="F11" s="25">
        <f>'Raw Data'!F26/100</f>
        <v>5.5E-2</v>
      </c>
      <c r="G11" s="25">
        <f>'Raw Data'!G26/100</f>
        <v>4.8000000000000001E-2</v>
      </c>
      <c r="H11" s="25">
        <f>'Raw Data'!H26/100</f>
        <v>3.2000000000000001E-2</v>
      </c>
      <c r="I11" s="25">
        <f>'Raw Data'!I26/100</f>
        <v>5.4000000000000006E-2</v>
      </c>
      <c r="J11" s="25">
        <f>'Raw Data'!J26/100</f>
        <v>-1.8000000000000002E-2</v>
      </c>
      <c r="K11" s="25">
        <f>'Raw Data'!K26/100</f>
        <v>4.0999999999999995E-2</v>
      </c>
      <c r="L11" s="25">
        <f>'Raw Data'!L26/100</f>
        <v>4.5999999999999999E-2</v>
      </c>
      <c r="M11" s="25">
        <f>'Raw Data'!M26/100</f>
        <v>3.7999999999999999E-2</v>
      </c>
      <c r="N11" s="26">
        <f t="shared" si="0"/>
        <v>3.716666666666666E-2</v>
      </c>
      <c r="O11" s="26">
        <f t="shared" si="1"/>
        <v>3.0204856121712188E-2</v>
      </c>
    </row>
    <row r="12" spans="1:16" x14ac:dyDescent="0.2">
      <c r="A12" s="8" t="str">
        <f>'Raw Data'!A27</f>
        <v>V</v>
      </c>
      <c r="B12" s="25">
        <f>'Raw Data'!B27/100</f>
        <v>4.4999999999999998E-2</v>
      </c>
      <c r="C12" s="25">
        <f>'Raw Data'!C27/100</f>
        <v>2.4E-2</v>
      </c>
      <c r="D12" s="25">
        <f>'Raw Data'!D27/100</f>
        <v>5.7999999999999996E-2</v>
      </c>
      <c r="E12" s="25">
        <f>'Raw Data'!E27/100</f>
        <v>-1.3999999999999999E-2</v>
      </c>
      <c r="F12" s="25">
        <f>'Raw Data'!F27/100</f>
        <v>4.0999999999999995E-2</v>
      </c>
      <c r="G12" s="25">
        <f>'Raw Data'!G27/100</f>
        <v>3.7000000000000005E-2</v>
      </c>
      <c r="H12" s="25">
        <f>'Raw Data'!H27/100</f>
        <v>2.1000000000000001E-2</v>
      </c>
      <c r="I12" s="25">
        <f>'Raw Data'!I27/100</f>
        <v>4.2000000000000003E-2</v>
      </c>
      <c r="J12" s="25">
        <f>'Raw Data'!J27/100</f>
        <v>-0.01</v>
      </c>
      <c r="K12" s="25">
        <f>'Raw Data'!K27/100</f>
        <v>3.1E-2</v>
      </c>
      <c r="L12" s="25">
        <f>'Raw Data'!L27/100</f>
        <v>3.5000000000000003E-2</v>
      </c>
      <c r="M12" s="25">
        <f>'Raw Data'!M27/100</f>
        <v>2.8999999999999998E-2</v>
      </c>
      <c r="N12" s="26">
        <f t="shared" si="0"/>
        <v>2.8250000000000008E-2</v>
      </c>
      <c r="O12" s="26">
        <f t="shared" si="1"/>
        <v>2.1247994557775856E-2</v>
      </c>
    </row>
    <row r="13" spans="1:16" x14ac:dyDescent="0.2">
      <c r="A13" s="8" t="str">
        <f>'Raw Data'!A28</f>
        <v>UNH</v>
      </c>
      <c r="B13" s="25">
        <f>'Raw Data'!B28/100</f>
        <v>3.7999999999999999E-2</v>
      </c>
      <c r="C13" s="25">
        <f>'Raw Data'!C28/100</f>
        <v>0.02</v>
      </c>
      <c r="D13" s="25">
        <f>'Raw Data'!D28/100</f>
        <v>5.0999999999999997E-2</v>
      </c>
      <c r="E13" s="25">
        <f>'Raw Data'!E28/100</f>
        <v>-1.6E-2</v>
      </c>
      <c r="F13" s="25">
        <f>'Raw Data'!F28/100</f>
        <v>3.5000000000000003E-2</v>
      </c>
      <c r="G13" s="25">
        <f>'Raw Data'!G28/100</f>
        <v>3.1E-2</v>
      </c>
      <c r="H13" s="25">
        <f>'Raw Data'!H28/100</f>
        <v>1.8000000000000002E-2</v>
      </c>
      <c r="I13" s="25">
        <f>'Raw Data'!I28/100</f>
        <v>3.6000000000000004E-2</v>
      </c>
      <c r="J13" s="25">
        <f>'Raw Data'!J28/100</f>
        <v>-1.1000000000000001E-2</v>
      </c>
      <c r="K13" s="25">
        <f>'Raw Data'!K28/100</f>
        <v>2.7000000000000003E-2</v>
      </c>
      <c r="L13" s="25">
        <f>'Raw Data'!L28/100</f>
        <v>0.03</v>
      </c>
      <c r="M13" s="25">
        <f>'Raw Data'!M28/100</f>
        <v>2.5000000000000001E-2</v>
      </c>
      <c r="N13" s="26">
        <f t="shared" si="0"/>
        <v>2.3666666666666669E-2</v>
      </c>
      <c r="O13" s="26">
        <f t="shared" si="1"/>
        <v>1.9448455574734569E-2</v>
      </c>
    </row>
    <row r="14" spans="1:16" x14ac:dyDescent="0.2">
      <c r="A14" s="8" t="str">
        <f>'Raw Data'!A29</f>
        <v>T</v>
      </c>
      <c r="B14" s="25">
        <f>'Raw Data'!B29/100</f>
        <v>2.5000000000000001E-2</v>
      </c>
      <c r="C14" s="25">
        <f>'Raw Data'!C29/100</f>
        <v>1.3000000000000001E-2</v>
      </c>
      <c r="D14" s="25">
        <f>'Raw Data'!D29/100</f>
        <v>3.2000000000000001E-2</v>
      </c>
      <c r="E14" s="25">
        <f>'Raw Data'!E29/100</f>
        <v>-9.0000000000000011E-3</v>
      </c>
      <c r="F14" s="25">
        <f>'Raw Data'!F29/100</f>
        <v>2.3E-2</v>
      </c>
      <c r="G14" s="25">
        <f>'Raw Data'!G29/100</f>
        <v>0.02</v>
      </c>
      <c r="H14" s="25">
        <f>'Raw Data'!H29/100</f>
        <v>1.2E-2</v>
      </c>
      <c r="I14" s="25">
        <f>'Raw Data'!I29/100</f>
        <v>2.2000000000000002E-2</v>
      </c>
      <c r="J14" s="25">
        <f>'Raw Data'!J29/100</f>
        <v>-6.0000000000000001E-3</v>
      </c>
      <c r="K14" s="25">
        <f>'Raw Data'!K29/100</f>
        <v>1.7000000000000001E-2</v>
      </c>
      <c r="L14" s="25">
        <f>'Raw Data'!L29/100</f>
        <v>1.9E-2</v>
      </c>
      <c r="M14" s="25">
        <f>'Raw Data'!M29/100</f>
        <v>1.4999999999999999E-2</v>
      </c>
      <c r="N14" s="26">
        <f t="shared" si="0"/>
        <v>1.525E-2</v>
      </c>
      <c r="O14" s="26">
        <f t="shared" si="1"/>
        <v>1.1970607943853757E-2</v>
      </c>
    </row>
    <row r="15" spans="1:16" x14ac:dyDescent="0.2">
      <c r="A15" s="8" t="str">
        <f>'Raw Data'!A30</f>
        <v>S&amp;P 500</v>
      </c>
      <c r="B15" s="25">
        <f>'Raw Data'!B30/100</f>
        <v>4.4999999999999998E-2</v>
      </c>
      <c r="C15" s="25">
        <f>'Raw Data'!C30/100</f>
        <v>2.3E-2</v>
      </c>
      <c r="D15" s="25">
        <f>'Raw Data'!D30/100</f>
        <v>5.7999999999999996E-2</v>
      </c>
      <c r="E15" s="25">
        <f>'Raw Data'!E30/100</f>
        <v>-1.6E-2</v>
      </c>
      <c r="F15" s="25">
        <f>'Raw Data'!F30/100</f>
        <v>4.2000000000000003E-2</v>
      </c>
      <c r="G15" s="25">
        <f>'Raw Data'!G30/100</f>
        <v>3.7999999999999999E-2</v>
      </c>
      <c r="H15" s="25">
        <f>'Raw Data'!H30/100</f>
        <v>0.02</v>
      </c>
      <c r="I15" s="25">
        <f>'Raw Data'!I30/100</f>
        <v>4.2999999999999997E-2</v>
      </c>
      <c r="J15" s="25">
        <f>'Raw Data'!J30/100</f>
        <v>-1.2E-2</v>
      </c>
      <c r="K15" s="25">
        <f>'Raw Data'!K30/100</f>
        <v>0.03</v>
      </c>
      <c r="L15" s="25">
        <f>'Raw Data'!L30/100</f>
        <v>3.4000000000000002E-2</v>
      </c>
      <c r="M15" s="25">
        <f>'Raw Data'!M30/100</f>
        <v>2.7999999999999997E-2</v>
      </c>
      <c r="N15" s="26">
        <f t="shared" si="0"/>
        <v>2.7750000000000007E-2</v>
      </c>
      <c r="O15" s="26">
        <f t="shared" si="1"/>
        <v>2.2103578484448657E-2</v>
      </c>
    </row>
    <row r="18" spans="1:11" x14ac:dyDescent="0.2">
      <c r="A18" s="39" t="s">
        <v>72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</row>
    <row r="19" spans="1:11" x14ac:dyDescent="0.2">
      <c r="A19" s="46" t="s">
        <v>73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</row>
    <row r="21" spans="1:11" x14ac:dyDescent="0.2">
      <c r="A21" s="48" t="s">
        <v>74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</row>
    <row r="22" spans="1:11" x14ac:dyDescent="0.2">
      <c r="A22" s="45" t="s">
        <v>75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</row>
    <row r="23" spans="1:11" x14ac:dyDescent="0.2">
      <c r="A23" s="28" t="s">
        <v>76</v>
      </c>
      <c r="B23" s="28" t="s">
        <v>77</v>
      </c>
      <c r="C23" s="28" t="s">
        <v>78</v>
      </c>
    </row>
    <row r="24" spans="1:11" x14ac:dyDescent="0.2">
      <c r="A24" s="29" t="s">
        <v>37</v>
      </c>
      <c r="B24" s="30">
        <f>SUMPRODUCT(B6:B15,'Return Calculations'!$F$7:$F$16)/SUM('Return Calculations'!$F$7:$F$16)</f>
        <v>3.6690035681951318E-2</v>
      </c>
      <c r="C24" s="31" t="s">
        <v>79</v>
      </c>
    </row>
    <row r="25" spans="1:11" x14ac:dyDescent="0.2">
      <c r="A25" s="29" t="s">
        <v>38</v>
      </c>
      <c r="B25" s="30">
        <f>SUMPRODUCT(C6:C15,'Return Calculations'!$F$7:$F$16)/SUM('Return Calculations'!$F$7:$F$16)</f>
        <v>2.0088203653405762E-2</v>
      </c>
      <c r="C25" s="31" t="s">
        <v>80</v>
      </c>
    </row>
    <row r="26" spans="1:11" x14ac:dyDescent="0.2">
      <c r="A26" s="29" t="s">
        <v>39</v>
      </c>
      <c r="B26" s="30">
        <f>SUMPRODUCT(D6:D15,'Return Calculations'!$F$7:$F$16)/SUM('Return Calculations'!$F$7:$F$16)</f>
        <v>4.7977477765351238E-2</v>
      </c>
      <c r="C26" s="31" t="s">
        <v>81</v>
      </c>
    </row>
    <row r="27" spans="1:11" x14ac:dyDescent="0.2">
      <c r="A27" s="29" t="s">
        <v>40</v>
      </c>
      <c r="B27" s="30">
        <f>SUMPRODUCT(E6:E15,'Return Calculations'!$F$7:$F$16)/SUM('Return Calculations'!$F$7:$F$16)</f>
        <v>-1.4154859668743677E-2</v>
      </c>
      <c r="C27" s="31" t="s">
        <v>82</v>
      </c>
    </row>
    <row r="28" spans="1:11" x14ac:dyDescent="0.2">
      <c r="A28" s="29" t="s">
        <v>41</v>
      </c>
      <c r="B28" s="30">
        <f>SUMPRODUCT(F6:F15,'Return Calculations'!$F$7:$F$16)/SUM('Return Calculations'!$F$7:$F$16)</f>
        <v>3.4461159929701231E-2</v>
      </c>
      <c r="C28" s="31" t="s">
        <v>83</v>
      </c>
    </row>
    <row r="29" spans="1:11" x14ac:dyDescent="0.2">
      <c r="A29" s="29" t="s">
        <v>42</v>
      </c>
      <c r="B29" s="30">
        <f>SUMPRODUCT(G6:G15,'Return Calculations'!$F$7:$F$16)/SUM('Return Calculations'!$F$7:$F$16)</f>
        <v>2.9789290088938596E-2</v>
      </c>
      <c r="C29" s="31" t="s">
        <v>84</v>
      </c>
    </row>
    <row r="30" spans="1:11" x14ac:dyDescent="0.2">
      <c r="A30" s="29" t="s">
        <v>43</v>
      </c>
      <c r="B30" s="30">
        <f>SUMPRODUCT(H6:H15,'Return Calculations'!$F$7:$F$16)/SUM('Return Calculations'!$F$7:$F$16)</f>
        <v>1.7976268839537731E-2</v>
      </c>
      <c r="C30" s="31" t="s">
        <v>85</v>
      </c>
    </row>
    <row r="31" spans="1:11" x14ac:dyDescent="0.2">
      <c r="A31" s="29" t="s">
        <v>44</v>
      </c>
      <c r="B31" s="30">
        <f>SUMPRODUCT(I6:I15,'Return Calculations'!$F$7:$F$16)/SUM('Return Calculations'!$F$7:$F$16)</f>
        <v>3.4005512062629813E-2</v>
      </c>
      <c r="C31" s="31" t="s">
        <v>86</v>
      </c>
    </row>
    <row r="32" spans="1:11" x14ac:dyDescent="0.2">
      <c r="A32" s="29" t="s">
        <v>45</v>
      </c>
      <c r="B32" s="30">
        <f>SUMPRODUCT(J6:J15,'Return Calculations'!$F$7:$F$16)/SUM('Return Calculations'!$F$7:$F$16)</f>
        <v>-9.822602119614424E-3</v>
      </c>
      <c r="C32" s="31" t="s">
        <v>87</v>
      </c>
    </row>
    <row r="33" spans="1:3" x14ac:dyDescent="0.2">
      <c r="A33" s="29" t="s">
        <v>46</v>
      </c>
      <c r="B33" s="30">
        <f>SUMPRODUCT(K6:K15,'Return Calculations'!$F$7:$F$16)/SUM('Return Calculations'!$F$7:$F$16)</f>
        <v>2.54849816264579E-2</v>
      </c>
      <c r="C33" s="31" t="s">
        <v>88</v>
      </c>
    </row>
    <row r="34" spans="1:3" x14ac:dyDescent="0.2">
      <c r="A34" s="29" t="s">
        <v>47</v>
      </c>
      <c r="B34" s="30">
        <f>SUMPRODUCT(L6:L15,'Return Calculations'!$F$7:$F$16)/SUM('Return Calculations'!$F$7:$F$16)</f>
        <v>2.8691766522873734E-2</v>
      </c>
      <c r="C34" s="31" t="s">
        <v>89</v>
      </c>
    </row>
    <row r="35" spans="1:3" x14ac:dyDescent="0.2">
      <c r="A35" s="29" t="s">
        <v>48</v>
      </c>
      <c r="B35" s="30">
        <f>SUMPRODUCT(M6:M15,'Return Calculations'!$F$7:$F$16)/SUM('Return Calculations'!$F$7:$F$16)</f>
        <v>2.347767481493317E-2</v>
      </c>
      <c r="C35" s="31" t="s">
        <v>90</v>
      </c>
    </row>
    <row r="38" spans="1:3" x14ac:dyDescent="0.2">
      <c r="A38" s="27" t="s">
        <v>91</v>
      </c>
    </row>
    <row r="39" spans="1:3" x14ac:dyDescent="0.2">
      <c r="A39" s="27" t="s">
        <v>92</v>
      </c>
      <c r="B39" s="32">
        <f>_xlfn.STDEV.S(B24:B35)</f>
        <v>1.8191005841676135E-2</v>
      </c>
      <c r="C39" s="33">
        <f>_xlfn.STDEV.S(B24:B35)</f>
        <v>1.8191005841676135E-2</v>
      </c>
    </row>
    <row r="41" spans="1:3" x14ac:dyDescent="0.2">
      <c r="A41" s="27" t="s">
        <v>93</v>
      </c>
    </row>
    <row r="42" spans="1:3" x14ac:dyDescent="0.2">
      <c r="A42" s="34" t="s">
        <v>94</v>
      </c>
      <c r="B42" s="24">
        <f>B39*SQRT(12)</f>
        <v>6.3015492717130625E-2</v>
      </c>
      <c r="C42" s="33">
        <f>B39*SQRT(12)</f>
        <v>6.3015492717130625E-2</v>
      </c>
    </row>
  </sheetData>
  <mergeCells count="7">
    <mergeCell ref="A22:K22"/>
    <mergeCell ref="A18:K18"/>
    <mergeCell ref="A21:K21"/>
    <mergeCell ref="A1:P1"/>
    <mergeCell ref="A19:K19"/>
    <mergeCell ref="A4:P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A25" sqref="A25:H25"/>
    </sheetView>
  </sheetViews>
  <sheetFormatPr baseColWidth="10" defaultColWidth="8.83203125" defaultRowHeight="15" x14ac:dyDescent="0.2"/>
  <cols>
    <col min="1" max="1" width="25" customWidth="1"/>
    <col min="2" max="2" width="16" customWidth="1"/>
    <col min="3" max="3" width="35" customWidth="1"/>
  </cols>
  <sheetData>
    <row r="1" spans="1:8" ht="19" x14ac:dyDescent="0.2">
      <c r="A1" s="41" t="s">
        <v>95</v>
      </c>
      <c r="B1" s="40"/>
      <c r="C1" s="40"/>
      <c r="D1" s="40"/>
      <c r="E1" s="40"/>
      <c r="F1" s="40"/>
      <c r="G1" s="40"/>
      <c r="H1" s="40"/>
    </row>
    <row r="2" spans="1:8" x14ac:dyDescent="0.2">
      <c r="A2" s="51" t="s">
        <v>96</v>
      </c>
      <c r="B2" s="40"/>
      <c r="C2" s="40"/>
      <c r="D2" s="40"/>
      <c r="E2" s="40"/>
      <c r="F2" s="40"/>
      <c r="G2" s="40"/>
      <c r="H2" s="40"/>
    </row>
    <row r="4" spans="1:8" x14ac:dyDescent="0.2">
      <c r="A4" s="49" t="s">
        <v>97</v>
      </c>
      <c r="B4" s="40"/>
      <c r="C4" s="40"/>
      <c r="D4" s="40"/>
      <c r="E4" s="40"/>
      <c r="F4" s="40"/>
      <c r="G4" s="40"/>
      <c r="H4" s="40"/>
    </row>
    <row r="6" spans="1:8" x14ac:dyDescent="0.2">
      <c r="A6" s="39" t="s">
        <v>98</v>
      </c>
      <c r="B6" s="40"/>
      <c r="C6" s="40"/>
      <c r="D6" s="40"/>
      <c r="E6" s="40"/>
      <c r="F6" s="40"/>
      <c r="G6" s="40"/>
      <c r="H6" s="40"/>
    </row>
    <row r="7" spans="1:8" x14ac:dyDescent="0.2">
      <c r="A7" s="27" t="s">
        <v>99</v>
      </c>
      <c r="B7" s="26">
        <f>AVERAGE('Volatility Calculations'!B24:B35)</f>
        <v>2.2888742433118534E-2</v>
      </c>
      <c r="C7" s="52">
        <f>AVERAGE(B7)</f>
        <v>2.2888742433118534E-2</v>
      </c>
      <c r="D7" s="40"/>
      <c r="E7" s="40"/>
    </row>
    <row r="9" spans="1:8" x14ac:dyDescent="0.2">
      <c r="A9" s="27" t="s">
        <v>100</v>
      </c>
      <c r="B9" s="26">
        <f>POWER(1+B7,12)-1</f>
        <v>0.31202100271800282</v>
      </c>
      <c r="C9" s="53">
        <f>POWER(1+B7,12)-1</f>
        <v>0.31202100271800282</v>
      </c>
      <c r="D9" s="40"/>
      <c r="E9" s="40"/>
    </row>
    <row r="12" spans="1:8" x14ac:dyDescent="0.2">
      <c r="A12" s="39" t="s">
        <v>101</v>
      </c>
      <c r="B12" s="40"/>
      <c r="C12" s="40"/>
      <c r="D12" s="40"/>
      <c r="E12" s="40"/>
      <c r="F12" s="40"/>
      <c r="G12" s="40"/>
      <c r="H12" s="40"/>
    </row>
    <row r="13" spans="1:8" x14ac:dyDescent="0.2">
      <c r="A13" s="27" t="s">
        <v>102</v>
      </c>
      <c r="B13" s="35">
        <f>'Raw Data'!B32/100</f>
        <v>0</v>
      </c>
      <c r="C13" s="50" t="s">
        <v>103</v>
      </c>
      <c r="D13" s="40"/>
      <c r="E13" s="40"/>
    </row>
    <row r="16" spans="1:8" x14ac:dyDescent="0.2">
      <c r="A16" s="39" t="s">
        <v>104</v>
      </c>
      <c r="B16" s="40"/>
      <c r="C16" s="40"/>
      <c r="D16" s="40"/>
      <c r="E16" s="40"/>
      <c r="F16" s="40"/>
      <c r="G16" s="40"/>
      <c r="H16" s="40"/>
    </row>
    <row r="17" spans="1:8" x14ac:dyDescent="0.2">
      <c r="A17" s="27" t="s">
        <v>105</v>
      </c>
      <c r="B17" s="26">
        <f>B9-B13</f>
        <v>0.31202100271800282</v>
      </c>
      <c r="C17" s="50" t="e">
        <f>Portfolio Return - Risk-Free Rate</f>
        <v>#NAME?</v>
      </c>
      <c r="D17" s="40"/>
      <c r="E17" s="40"/>
    </row>
    <row r="20" spans="1:8" x14ac:dyDescent="0.2">
      <c r="A20" s="39" t="s">
        <v>106</v>
      </c>
      <c r="B20" s="40"/>
      <c r="C20" s="40"/>
      <c r="D20" s="40"/>
      <c r="E20" s="40"/>
      <c r="F20" s="40"/>
      <c r="G20" s="40"/>
      <c r="H20" s="40"/>
    </row>
    <row r="21" spans="1:8" x14ac:dyDescent="0.2">
      <c r="A21" s="36" t="s">
        <v>107</v>
      </c>
      <c r="B21" s="35">
        <f>'Volatility Calculations'!B42</f>
        <v>6.3015492717130625E-2</v>
      </c>
      <c r="C21" s="50" t="s">
        <v>108</v>
      </c>
      <c r="D21" s="40"/>
      <c r="E21" s="40"/>
    </row>
    <row r="23" spans="1:8" ht="16" x14ac:dyDescent="0.2">
      <c r="A23" s="37" t="s">
        <v>109</v>
      </c>
      <c r="B23" s="38">
        <f>B17/B21</f>
        <v>4.9514966758830177</v>
      </c>
      <c r="C23" s="54">
        <f>B17 / B21</f>
        <v>4.9514966758830177</v>
      </c>
      <c r="D23" s="40"/>
      <c r="E23" s="40"/>
    </row>
    <row r="25" spans="1:8" x14ac:dyDescent="0.2">
      <c r="A25" s="45" t="s">
        <v>110</v>
      </c>
      <c r="B25" s="40"/>
      <c r="C25" s="40"/>
      <c r="D25" s="40"/>
      <c r="E25" s="40"/>
      <c r="F25" s="40"/>
      <c r="G25" s="40"/>
      <c r="H25" s="40"/>
    </row>
  </sheetData>
  <mergeCells count="14">
    <mergeCell ref="A1:H1"/>
    <mergeCell ref="C7:E7"/>
    <mergeCell ref="C21:E21"/>
    <mergeCell ref="A6:H6"/>
    <mergeCell ref="A2:H2"/>
    <mergeCell ref="A16:H16"/>
    <mergeCell ref="C23:E23"/>
    <mergeCell ref="C9:E9"/>
    <mergeCell ref="C17:E17"/>
    <mergeCell ref="A12:H12"/>
    <mergeCell ref="A4:H4"/>
    <mergeCell ref="C13:E13"/>
    <mergeCell ref="A25:H25"/>
    <mergeCell ref="A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Return Calculations</vt:lpstr>
      <vt:lpstr>Volatility Calculations</vt:lpstr>
      <vt:lpstr>Sharpe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Vatsal Maheshbhai Chavda</cp:lastModifiedBy>
  <dcterms:created xsi:type="dcterms:W3CDTF">2026-02-03T22:05:21Z</dcterms:created>
  <dcterms:modified xsi:type="dcterms:W3CDTF">2026-02-03T22:17:51Z</dcterms:modified>
</cp:coreProperties>
</file>