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atsalchavda/Desktop/Co-op/"/>
    </mc:Choice>
  </mc:AlternateContent>
  <xr:revisionPtr revIDLastSave="0" documentId="8_{F9E6F4AB-C6FD-FE49-9C60-DEB50E82272E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Cover" sheetId="1" r:id="rId1"/>
    <sheet name="Assumptions" sheetId="2" r:id="rId2"/>
    <sheet name="Income Statement" sheetId="3" r:id="rId3"/>
    <sheet name="Balance Sheet" sheetId="4" r:id="rId4"/>
    <sheet name="Debt" sheetId="5" r:id="rId5"/>
    <sheet name="Cash Flow" sheetId="6" r:id="rId6"/>
    <sheet name="Ratios" sheetId="7" r:id="rId7"/>
    <sheet name="Industry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C18" i="7"/>
  <c r="C17" i="7"/>
  <c r="C19" i="7" s="1"/>
  <c r="F19" i="7" s="1"/>
  <c r="C13" i="7"/>
  <c r="F13" i="7" s="1"/>
  <c r="C9" i="7"/>
  <c r="F9" i="7" s="1"/>
  <c r="C3" i="5"/>
  <c r="F3" i="5" s="1"/>
  <c r="C10" i="4"/>
  <c r="C11" i="4" s="1"/>
  <c r="C9" i="4"/>
  <c r="C5" i="4"/>
  <c r="C4" i="4"/>
  <c r="C6" i="4" s="1"/>
  <c r="E13" i="3"/>
  <c r="D13" i="3"/>
  <c r="C13" i="3"/>
  <c r="E8" i="3"/>
  <c r="D8" i="3"/>
  <c r="C8" i="3"/>
  <c r="C3" i="3"/>
  <c r="C4" i="3" s="1"/>
  <c r="C5" i="3" s="1"/>
  <c r="C16" i="2"/>
  <c r="C19" i="2" s="1"/>
  <c r="C22" i="1"/>
  <c r="C21" i="1"/>
  <c r="C20" i="1"/>
  <c r="C6" i="3" l="1"/>
  <c r="C24" i="7"/>
  <c r="C12" i="6"/>
  <c r="D5" i="5"/>
  <c r="D6" i="5"/>
  <c r="D11" i="5"/>
  <c r="D3" i="5"/>
  <c r="E11" i="6"/>
  <c r="D9" i="5"/>
  <c r="D11" i="6"/>
  <c r="D12" i="5"/>
  <c r="D4" i="5"/>
  <c r="C11" i="6"/>
  <c r="D7" i="5"/>
  <c r="D8" i="5"/>
  <c r="D10" i="5"/>
  <c r="C14" i="4"/>
  <c r="C15" i="4" s="1"/>
  <c r="C7" i="3"/>
  <c r="C10" i="3" s="1"/>
  <c r="C11" i="3" s="1"/>
  <c r="D3" i="3"/>
  <c r="C6" i="6"/>
  <c r="C9" i="3"/>
  <c r="C12" i="3" l="1"/>
  <c r="C5" i="7"/>
  <c r="C4" i="7"/>
  <c r="C4" i="6"/>
  <c r="C14" i="3"/>
  <c r="D9" i="3"/>
  <c r="D7" i="6"/>
  <c r="D6" i="6"/>
  <c r="D7" i="3"/>
  <c r="D10" i="3" s="1"/>
  <c r="D4" i="3"/>
  <c r="D5" i="3" s="1"/>
  <c r="E3" i="3"/>
  <c r="D13" i="5"/>
  <c r="E3" i="5"/>
  <c r="D15" i="3"/>
  <c r="D6" i="3" l="1"/>
  <c r="D11" i="3"/>
  <c r="E7" i="6"/>
  <c r="E6" i="6"/>
  <c r="E4" i="3"/>
  <c r="E5" i="3" s="1"/>
  <c r="E9" i="3"/>
  <c r="E7" i="3"/>
  <c r="E10" i="3" s="1"/>
  <c r="C23" i="7"/>
  <c r="C25" i="7" s="1"/>
  <c r="F5" i="7"/>
  <c r="C19" i="1"/>
  <c r="C13" i="6"/>
  <c r="G3" i="5"/>
  <c r="C4" i="5" s="1"/>
  <c r="E6" i="3" l="1"/>
  <c r="E11" i="3"/>
  <c r="F4" i="5"/>
  <c r="D4" i="6"/>
  <c r="D14" i="3"/>
  <c r="D16" i="3" s="1"/>
  <c r="D12" i="3"/>
  <c r="F25" i="7"/>
  <c r="C23" i="1"/>
  <c r="E14" i="3" l="1"/>
  <c r="G4" i="6"/>
  <c r="E4" i="6"/>
  <c r="E12" i="3"/>
  <c r="D17" i="3"/>
  <c r="D5" i="6" s="1"/>
  <c r="D8" i="6" s="1"/>
  <c r="D12" i="6"/>
  <c r="E4" i="5"/>
  <c r="D16" i="6" l="1"/>
  <c r="D17" i="6" s="1"/>
  <c r="D21" i="6"/>
  <c r="D23" i="6" s="1"/>
  <c r="D18" i="3"/>
  <c r="D13" i="6"/>
  <c r="G4" i="5"/>
  <c r="C5" i="5" s="1"/>
  <c r="F5" i="5" l="1"/>
  <c r="E12" i="6" l="1"/>
  <c r="E5" i="5"/>
  <c r="E13" i="6" l="1"/>
  <c r="G5" i="5"/>
  <c r="C6" i="5" s="1"/>
  <c r="F6" i="5" l="1"/>
  <c r="E6" i="5" l="1"/>
  <c r="G6" i="5" l="1"/>
  <c r="C7" i="5" s="1"/>
  <c r="F7" i="5" l="1"/>
  <c r="E7" i="5" l="1"/>
  <c r="G7" i="5" l="1"/>
  <c r="C8" i="5" s="1"/>
  <c r="F8" i="5" l="1"/>
  <c r="E8" i="5" s="1"/>
  <c r="E15" i="3" s="1"/>
  <c r="E16" i="3" s="1"/>
  <c r="C15" i="3"/>
  <c r="C16" i="3" s="1"/>
  <c r="C17" i="3" l="1"/>
  <c r="C5" i="6" s="1"/>
  <c r="C8" i="6" s="1"/>
  <c r="E17" i="3"/>
  <c r="E5" i="6" s="1"/>
  <c r="E8" i="6" s="1"/>
  <c r="G8" i="5"/>
  <c r="C9" i="5" s="1"/>
  <c r="E16" i="6" l="1"/>
  <c r="E17" i="6" s="1"/>
  <c r="E21" i="6"/>
  <c r="E23" i="6" s="1"/>
  <c r="E18" i="3"/>
  <c r="F9" i="5"/>
  <c r="E9" i="5" s="1"/>
  <c r="G9" i="5" s="1"/>
  <c r="C10" i="5" s="1"/>
  <c r="C21" i="6"/>
  <c r="C23" i="6" s="1"/>
  <c r="C16" i="6"/>
  <c r="C18" i="3"/>
  <c r="F10" i="5" l="1"/>
  <c r="E10" i="5" s="1"/>
  <c r="G10" i="5" s="1"/>
  <c r="C11" i="5" s="1"/>
  <c r="C17" i="6"/>
  <c r="C18" i="6"/>
  <c r="D18" i="6" s="1"/>
  <c r="E18" i="6" s="1"/>
  <c r="F11" i="5" l="1"/>
  <c r="E11" i="5" s="1"/>
  <c r="G11" i="5"/>
  <c r="C12" i="5" s="1"/>
  <c r="F12" i="5" l="1"/>
  <c r="E12" i="5" l="1"/>
  <c r="F13" i="5"/>
  <c r="E13" i="5" l="1"/>
  <c r="G12" i="5"/>
</calcChain>
</file>

<file path=xl/sharedStrings.xml><?xml version="1.0" encoding="utf-8"?>
<sst xmlns="http://schemas.openxmlformats.org/spreadsheetml/2006/main" count="238" uniqueCount="217">
  <si>
    <t>COMMERCIAL CREDIT ANALYSIS</t>
  </si>
  <si>
    <t>Ontario Food Services — Equipment &amp; Leasehold Improvement Loan</t>
  </si>
  <si>
    <t>Borrower</t>
  </si>
  <si>
    <t>Harvest Table Restaurant Group Inc.</t>
  </si>
  <si>
    <t>Industry</t>
  </si>
  <si>
    <t>Full-Service Restaurants — NAICS 722511</t>
  </si>
  <si>
    <t>Location</t>
  </si>
  <si>
    <t>Woodbridge, Ontario, Canada</t>
  </si>
  <si>
    <t>Loan Purpose</t>
  </si>
  <si>
    <t>Equipment Purchase &amp; Leasehold Improvements</t>
  </si>
  <si>
    <t>Loan Amount</t>
  </si>
  <si>
    <t>$480,000</t>
  </si>
  <si>
    <t>Loan Type</t>
  </si>
  <si>
    <t>Term Loan — CSBFP Eligible</t>
  </si>
  <si>
    <t>Interest Rate</t>
  </si>
  <si>
    <t>Prime + 2.00%  (6.95% as of Q1 2025)</t>
  </si>
  <si>
    <t>Amortization</t>
  </si>
  <si>
    <t>10 Years</t>
  </si>
  <si>
    <t>Analyst</t>
  </si>
  <si>
    <t>Vatsal Chavda</t>
  </si>
  <si>
    <t>Analysis Date</t>
  </si>
  <si>
    <t>March 2025</t>
  </si>
  <si>
    <t>Status</t>
  </si>
  <si>
    <t>Credit Approved — Subject to Documentation</t>
  </si>
  <si>
    <t>KEY CREDIT RATIOS</t>
  </si>
  <si>
    <t>Debt Service Coverage Ratio (DSCR)</t>
  </si>
  <si>
    <t>≥ 1.25x</t>
  </si>
  <si>
    <t>✓ PASS</t>
  </si>
  <si>
    <t>Loan-to-Value (LTV)</t>
  </si>
  <si>
    <t>≤ 75.0%</t>
  </si>
  <si>
    <t>Current Ratio</t>
  </si>
  <si>
    <t>≥ 1.20x</t>
  </si>
  <si>
    <t>Debt-to-Equity (D/E)</t>
  </si>
  <si>
    <t>≤ 3.50x</t>
  </si>
  <si>
    <t>Interest Coverage Ratio (ICR)</t>
  </si>
  <si>
    <t>≥ 2.00x</t>
  </si>
  <si>
    <t>→  Sheets:  Assumptions  |  Income Statement  |  Balance Sheet  |  Cash Flow  |  Debt Schedule  |  Ratios  |  Industry</t>
  </si>
  <si>
    <t>MODEL ASSUMPTIONS  —  Blue cells are user inputs</t>
  </si>
  <si>
    <t>BUSINESS ASSUMPTIONS</t>
  </si>
  <si>
    <t>Annual Revenue ($)</t>
  </si>
  <si>
    <t>Restaurants Canada, 2024 — Avg. full-service, Ontario, 50-seat+</t>
  </si>
  <si>
    <t>Revenue Growth Rate (Yr 1→2)</t>
  </si>
  <si>
    <t>Statistics Canada CANSIM 355-0004 — Food services 3-yr CAGR</t>
  </si>
  <si>
    <t>Revenue Growth Rate (Yr 2→3)</t>
  </si>
  <si>
    <t>Statistics Canada CANSIM 355-0004</t>
  </si>
  <si>
    <t>EBITDA Margin</t>
  </si>
  <si>
    <t>Restaurants Canada Foodservice Facts 2024 — Full-service median</t>
  </si>
  <si>
    <t>Depreciation &amp; Amortization ($)</t>
  </si>
  <si>
    <t>Straight-line: $480K equipment / 10 yr + $160K leasehold / 10 yr</t>
  </si>
  <si>
    <t>Annual Lease / Rent Expense ($)</t>
  </si>
  <si>
    <t>Typical Ontario commercial rent: ~6% of revenue, Colliers 2024</t>
  </si>
  <si>
    <t>Effective Tax Rate</t>
  </si>
  <si>
    <t>Ontario CCPC small business rate: 12.2% fed + 3.2% prov + SB ded.</t>
  </si>
  <si>
    <t>LOAN ASSUMPTIONS</t>
  </si>
  <si>
    <t>Loan Amount ($)</t>
  </si>
  <si>
    <t>Equipment ($320K) + Leasehold Improvements ($160K)</t>
  </si>
  <si>
    <t>Bank of Canada Prime Rate</t>
  </si>
  <si>
    <t>Bank of Canada, March 2025 — Prime = 4.95%</t>
  </si>
  <si>
    <t>Spread over Prime</t>
  </si>
  <si>
    <t>TD Commercial — standard spread for CSBFP-eligible term loans</t>
  </si>
  <si>
    <t>All-In Interest Rate</t>
  </si>
  <si>
    <t>Calculated: Prime + Spread</t>
  </si>
  <si>
    <t>Amortization (Years)</t>
  </si>
  <si>
    <t>CSBFP maximum for equipment: 10 years (BDC guidelines)</t>
  </si>
  <si>
    <t>Payments per Year</t>
  </si>
  <si>
    <t>Monthly payment schedule</t>
  </si>
  <si>
    <t>Annual Debt Service ($)</t>
  </si>
  <si>
    <t>Derived: standard annuity formula PMT × 12</t>
  </si>
  <si>
    <t>BALANCE SHEET ASSUMPTIONS</t>
  </si>
  <si>
    <t>Current Assets ($)</t>
  </si>
  <si>
    <t>Cash + receivables + inventory — management accounts</t>
  </si>
  <si>
    <t>Current Liabilities ($)</t>
  </si>
  <si>
    <t>AP + accruals + current portion LTD — management accounts</t>
  </si>
  <si>
    <t>Total Assets ($)</t>
  </si>
  <si>
    <t>Equipment + leasehold appraised value (post-improvement)</t>
  </si>
  <si>
    <t>Total Equity ($)</t>
  </si>
  <si>
    <t>Owner equity post-investment (management accounts)</t>
  </si>
  <si>
    <t>Appraised Collateral Value ($)</t>
  </si>
  <si>
    <t>Independent appraisal — equipment + leasehold improvements</t>
  </si>
  <si>
    <t>Maintenance Capex (% of Revenue)</t>
  </si>
  <si>
    <t>Source: Restaurants Canada Foodservice Facts 2024 — full-service maintenance benchmark</t>
  </si>
  <si>
    <t>PROJECTED INCOME STATEMENT  ($)</t>
  </si>
  <si>
    <t>Year 1  (Base)</t>
  </si>
  <si>
    <t>Year 2</t>
  </si>
  <si>
    <t>Year 3</t>
  </si>
  <si>
    <t>Revenue</t>
  </si>
  <si>
    <t>Cost of Goods Sold</t>
  </si>
  <si>
    <t>Gross Profit</t>
  </si>
  <si>
    <t xml:space="preserve">  Gross Margin %</t>
  </si>
  <si>
    <t>Labour &amp; Wages</t>
  </si>
  <si>
    <t>Rent / Occupancy</t>
  </si>
  <si>
    <t>Other Operating Expenses</t>
  </si>
  <si>
    <t>Total Operating Expenses</t>
  </si>
  <si>
    <t>EBITDA</t>
  </si>
  <si>
    <t xml:space="preserve">  EBITDA Margin %</t>
  </si>
  <si>
    <t>Depreciation &amp; Amortization</t>
  </si>
  <si>
    <t>EBIT</t>
  </si>
  <si>
    <t>Interest Expense</t>
  </si>
  <si>
    <t>EBT</t>
  </si>
  <si>
    <t>Income Tax</t>
  </si>
  <si>
    <t>Net Income</t>
  </si>
  <si>
    <t>BALANCE SHEET SNAPSHOT  ($)  —  Pre-Financing</t>
  </si>
  <si>
    <t>ASSETS</t>
  </si>
  <si>
    <t>Current Assets</t>
  </si>
  <si>
    <t>PP&amp;E / Collateral</t>
  </si>
  <si>
    <t>Total Assets</t>
  </si>
  <si>
    <t>LIABILITIES</t>
  </si>
  <si>
    <t>Current Liabilities</t>
  </si>
  <si>
    <t>Term Loan (New)</t>
  </si>
  <si>
    <t>Total Liabilities</t>
  </si>
  <si>
    <t>EQUITY</t>
  </si>
  <si>
    <t>Owner's Equity</t>
  </si>
  <si>
    <t>Total Liabilities + Equity</t>
  </si>
  <si>
    <t>LOAN AMORTIZATION SCHEDULE  —  Annual Summary ($)</t>
  </si>
  <si>
    <t>Year</t>
  </si>
  <si>
    <t>Opening Balance</t>
  </si>
  <si>
    <t>Annual Payment</t>
  </si>
  <si>
    <t>Principal</t>
  </si>
  <si>
    <t>Interest</t>
  </si>
  <si>
    <t>Closing Balance</t>
  </si>
  <si>
    <t>TOTAL</t>
  </si>
  <si>
    <t>FREE CASH FLOW ANALYSIS  ($)  —  Bank-Style Commercial Credit</t>
  </si>
  <si>
    <t>OPERATING CASH GENERATION</t>
  </si>
  <si>
    <t xml:space="preserve">  Less: Cash Taxes Paid</t>
  </si>
  <si>
    <t xml:space="preserve">  Less: Maintenance Capex</t>
  </si>
  <si>
    <t xml:space="preserve">  Less: Change in Working Capital</t>
  </si>
  <si>
    <t>Operating Cash Flow (before Debt Service)</t>
  </si>
  <si>
    <t>DEBT SERVICE</t>
  </si>
  <si>
    <t xml:space="preserve">  Less: Total Annual Debt Service (Principal + Interest)</t>
  </si>
  <si>
    <t xml:space="preserve">    Of which: Interest Expense</t>
  </si>
  <si>
    <t xml:space="preserve">    Of which: Principal Repayment</t>
  </si>
  <si>
    <t>FREE CASH FLOW</t>
  </si>
  <si>
    <t>Free Cash Flow (after Debt Service)</t>
  </si>
  <si>
    <t xml:space="preserve">  FCF Margin %</t>
  </si>
  <si>
    <t xml:space="preserve">  Cumulative Free Cash Flow</t>
  </si>
  <si>
    <t>DSCR CROSS-CHECK  (Cash Flow Basis)</t>
  </si>
  <si>
    <t>DSCR (Operating Cash Flow ÷ Total Debt Service)</t>
  </si>
  <si>
    <t xml:space="preserve">  Minimum Threshold (TD / OSFI B-20)</t>
  </si>
  <si>
    <t xml:space="preserve">  Surplus vs. Threshold</t>
  </si>
  <si>
    <t>Note: Maintenance Capex = 1.5% of revenue (Assumptions C28) — Restaurants Canada benchmark for full-service operators. Working capital build = 1% of incremental revenue in Years 2–3 (conservative estimate). Year 1 working capital change = $0 (base year assumption).</t>
  </si>
  <si>
    <t>CREDIT RATIO ANALYSIS</t>
  </si>
  <si>
    <t>Calculated</t>
  </si>
  <si>
    <t>TD Threshold</t>
  </si>
  <si>
    <t>Benchmark</t>
  </si>
  <si>
    <t>Result</t>
  </si>
  <si>
    <t>1.  DEBT SERVICE COVERAGE RATIO (DSCR)</t>
  </si>
  <si>
    <t>Adjusted NOI ($)</t>
  </si>
  <si>
    <t>EBITDA less Rent (already in opex) — proxy for NOI</t>
  </si>
  <si>
    <t>DSCR</t>
  </si>
  <si>
    <t>Industry min. 1.25x</t>
  </si>
  <si>
    <t>Formula</t>
  </si>
  <si>
    <t>DSCR = Adjusted NOI ÷ Annual Debt Service  |  NOI = EBITDA − Rent  |  Source: OSFI B-20, TD Commercial Credit Policy</t>
  </si>
  <si>
    <t>2.  LOAN-TO-VALUE (LTV)</t>
  </si>
  <si>
    <t>LTV</t>
  </si>
  <si>
    <t>CSBFP max 75%</t>
  </si>
  <si>
    <t>LTV = Loan Amount ÷ Appraised Collateral Value  |  Source: CSBFP Regulations, Independent Appraisal</t>
  </si>
  <si>
    <t>3.  CURRENT RATIO (LIQUIDITY)</t>
  </si>
  <si>
    <t>TD min. 1.20x</t>
  </si>
  <si>
    <t>Current Ratio = Current Assets ÷ Current Liabilities  |  Source: Management Accounts</t>
  </si>
  <si>
    <t>4.  DEBT-TO-EQUITY (LEVERAGE)</t>
  </si>
  <si>
    <t>Total Debt ($)</t>
  </si>
  <si>
    <t>D/E Ratio</t>
  </si>
  <si>
    <t>TD max. 3.50x</t>
  </si>
  <si>
    <t>D/E = Total Debt ÷ Owner's Equity  |  Source: Management Accounts, Post-Financing</t>
  </si>
  <si>
    <t>5.  INTEREST COVERAGE RATIO (ICR)</t>
  </si>
  <si>
    <t>EBIT ($)</t>
  </si>
  <si>
    <t>Interest Expense ($)</t>
  </si>
  <si>
    <t>ICR</t>
  </si>
  <si>
    <t>OSFI min. 2.00x</t>
  </si>
  <si>
    <t>ICR = EBIT ÷ Interest Expense  |  Source: Projected Income Statement, Year 1</t>
  </si>
  <si>
    <t>INDUSTRY &amp; SECTOR RISK ANALYSIS  —  Ontario Full-Service Restaurants</t>
  </si>
  <si>
    <t>SECTOR OVERVIEW</t>
  </si>
  <si>
    <t>Industry (NAICS)</t>
  </si>
  <si>
    <t>722511 — Full-Service Restaurants</t>
  </si>
  <si>
    <t>Statistics Canada, NAICS Canada 2022</t>
  </si>
  <si>
    <t>Ontario Market Size (2023)</t>
  </si>
  <si>
    <t>$36.4B total food services revenue</t>
  </si>
  <si>
    <t>Restaurants Canada Foodservice Facts 2024</t>
  </si>
  <si>
    <t># of Establishments (ON)</t>
  </si>
  <si>
    <t>~79,000 food service locations</t>
  </si>
  <si>
    <t>Statistics Canada CANSIM 21-004-X, 2023</t>
  </si>
  <si>
    <t>3-Year Revenue CAGR</t>
  </si>
  <si>
    <t>~3.0% (2021–2024)</t>
  </si>
  <si>
    <t>Post-Pandemic Recovery</t>
  </si>
  <si>
    <t>Returned to 97% of 2019 levels by 2023</t>
  </si>
  <si>
    <t>Restaurants Canada Industry Update Q4 2023</t>
  </si>
  <si>
    <t>FINANCIAL BENCHMARKS — Full-Service Segment</t>
  </si>
  <si>
    <t>COGS % of Revenue</t>
  </si>
  <si>
    <t>28–34%  (median ~31%)</t>
  </si>
  <si>
    <t>Labour % of Revenue</t>
  </si>
  <si>
    <t>30–36%  (median ~33%)</t>
  </si>
  <si>
    <t>Occupancy (Rent) % of Revenue</t>
  </si>
  <si>
    <t>5–8%    (median ~6%)</t>
  </si>
  <si>
    <t>Colliers Ontario Retail Market Report Q1 2025</t>
  </si>
  <si>
    <t>10–15%  (median ~13%)</t>
  </si>
  <si>
    <t>Restaurants Canada / BDC Industry Benchmark 2024</t>
  </si>
  <si>
    <t>Net Profit Margin</t>
  </si>
  <si>
    <t>3–7%</t>
  </si>
  <si>
    <t>BDC Key Small Business Statistics 2024</t>
  </si>
  <si>
    <t>KEY RISK FACTORS</t>
  </si>
  <si>
    <t>Labour Cost Inflation</t>
  </si>
  <si>
    <t>High</t>
  </si>
  <si>
    <t>Ontario min. wage increased to $17.20/hr Oct 2024; labour ~33% of revenue</t>
  </si>
  <si>
    <t>Input Cost Volatility</t>
  </si>
  <si>
    <t>Medium</t>
  </si>
  <si>
    <t>Food CPI +4.1% YoY (Jan 2025, StatCan); partially offset by menu pricing</t>
  </si>
  <si>
    <t>Consumer Spending Risk</t>
  </si>
  <si>
    <t>Discretionary spend sensitivity to interest rate environment</t>
  </si>
  <si>
    <t>Lease Renewal Risk</t>
  </si>
  <si>
    <t>Low</t>
  </si>
  <si>
    <t>Borrower on 5-year lease with 2 renewal options; rent fixed to 2027</t>
  </si>
  <si>
    <t>Competitive Intensity</t>
  </si>
  <si>
    <t>High density market; differentiation via cuisine type mitigates risk</t>
  </si>
  <si>
    <t>Regulatory / Liquor</t>
  </si>
  <si>
    <t>Borrower holds valid AGCO liquor licence; compliance history clean</t>
  </si>
  <si>
    <t>LENDING DECISION SUMMARY</t>
  </si>
  <si>
    <t>All 5 credit ratios meet or exceed TD/OSFI thresholds. Borrower operates in a recovering sector with stable benchmarks. DSCR of 2.60x provides strong debt service cushion. RECOMMENDATION: APPROVE — subject to standard covenant package.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</si>
</sst>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\x"/>
    <numFmt numFmtId="165" formatCode="0.0%"/>
    <numFmt numFmtId="166" formatCode="\$#,##0"/>
    <numFmt numFmtId="167" formatCode="0&quot; yrs&quot;"/>
    <numFmt numFmtId="168" formatCode="\$#,##0;&quot;($&quot;#,##0\);\-"/>
    <numFmt numFmtId="169" formatCode="0.0%;\(0.0%\);\-"/>
    <numFmt numFmtId="170" formatCode="0.00\x;\(0.00&quot;x)&quot;;\-"/>
    <numFmt numFmtId="171" formatCode="\+0.00\x;\-0.00\x;\-"/>
    <numFmt numFmtId="172" formatCode="\$#,##0;\(\$#,##0\);&quot;-&quot;"/>
  </numFmts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2"/>
      <color rgb="FFFFFFFF"/>
      <name val="Arial"/>
      <family val="2"/>
    </font>
    <font>
      <b/>
      <sz val="10"/>
      <color rgb="FF4A4A4A"/>
      <name val="Arial"/>
      <family val="2"/>
    </font>
    <font>
      <sz val="10"/>
      <color rgb="FF4A4A4A"/>
      <name val="Arial"/>
      <family val="2"/>
    </font>
    <font>
      <b/>
      <sz val="10"/>
      <color rgb="FFFFFFFF"/>
      <name val="Arial"/>
      <family val="2"/>
    </font>
    <font>
      <b/>
      <sz val="10"/>
      <color rgb="FF008000"/>
      <name val="Arial"/>
      <family val="2"/>
    </font>
    <font>
      <b/>
      <sz val="10"/>
      <color rgb="FF2E7D32"/>
      <name val="Arial"/>
      <family val="2"/>
    </font>
    <font>
      <i/>
      <sz val="9"/>
      <color rgb="FF2E5F8A"/>
      <name val="Arial"/>
      <family val="2"/>
    </font>
    <font>
      <sz val="10"/>
      <color rgb="FF0000FF"/>
      <name val="Arial"/>
      <family val="2"/>
    </font>
    <font>
      <i/>
      <sz val="8"/>
      <color rgb="FF75757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i/>
      <sz val="9"/>
      <color rgb="FF616161"/>
      <name val="Arial"/>
      <family val="2"/>
    </font>
    <font>
      <b/>
      <sz val="11"/>
      <color rgb="FF008000"/>
      <name val="Arial"/>
      <family val="2"/>
    </font>
    <font>
      <b/>
      <sz val="10"/>
      <color rgb="FF0000FF"/>
      <name val="Arial"/>
      <family val="2"/>
    </font>
    <font>
      <sz val="10"/>
      <color rgb="FF757575"/>
      <name val="Arial"/>
      <family val="2"/>
    </font>
    <font>
      <b/>
      <sz val="10"/>
      <color rgb="FF1B5E20"/>
      <name val="Arial"/>
      <family val="2"/>
    </font>
    <font>
      <sz val="10"/>
      <color rgb="FF0000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2E5F8A"/>
        <bgColor rgb="FF4A4A4A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E8F5E9"/>
        <bgColor rgb="FFF5F5F5"/>
      </patternFill>
    </fill>
    <fill>
      <patternFill patternType="solid">
        <fgColor rgb="FFFFFDE7"/>
        <bgColor rgb="FFFFFFFF"/>
      </patternFill>
    </fill>
    <fill>
      <patternFill patternType="solid">
        <fgColor rgb="FFD6E4F0"/>
        <bgColor rgb="FFC8E6C9"/>
      </patternFill>
    </fill>
    <fill>
      <patternFill patternType="solid">
        <fgColor rgb="FFFFCDD2"/>
        <bgColor rgb="FFD6E4F0"/>
      </patternFill>
    </fill>
    <fill>
      <patternFill patternType="solid">
        <fgColor rgb="FFC8E6C9"/>
        <bgColor rgb="FFD6E4F0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1B3A5C"/>
      </left>
      <right/>
      <top style="thin">
        <color rgb="FF1B3A5C"/>
      </top>
      <bottom style="thin">
        <color rgb="FF1B3A5C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medium">
        <color rgb="FF2E7D32"/>
      </left>
      <right/>
      <top style="medium">
        <color rgb="FF2E7D32"/>
      </top>
      <bottom style="medium">
        <color rgb="FF2E7D32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1B3A5C"/>
      </top>
      <bottom style="thin">
        <color rgb="FF1B3A5C"/>
      </bottom>
      <diagonal/>
    </border>
    <border>
      <left/>
      <right/>
      <top style="medium">
        <color rgb="FF2E7D32"/>
      </top>
      <bottom style="medium">
        <color rgb="FF2E7D32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164" fontId="6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166" fontId="9" fillId="7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indent="1"/>
    </xf>
    <xf numFmtId="165" fontId="9" fillId="7" borderId="1" xfId="0" applyNumberFormat="1" applyFont="1" applyFill="1" applyBorder="1" applyAlignment="1">
      <alignment horizontal="right" vertical="center"/>
    </xf>
    <xf numFmtId="10" fontId="9" fillId="7" borderId="1" xfId="0" applyNumberFormat="1" applyFont="1" applyFill="1" applyBorder="1" applyAlignment="1">
      <alignment horizontal="right" vertical="center"/>
    </xf>
    <xf numFmtId="167" fontId="9" fillId="7" borderId="1" xfId="0" applyNumberFormat="1" applyFont="1" applyFill="1" applyBorder="1" applyAlignment="1">
      <alignment horizontal="right" vertical="center"/>
    </xf>
    <xf numFmtId="1" fontId="9" fillId="7" borderId="1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168" fontId="11" fillId="5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 indent="1"/>
    </xf>
    <xf numFmtId="168" fontId="12" fillId="5" borderId="1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horizontal="left" vertical="center" indent="1"/>
    </xf>
    <xf numFmtId="165" fontId="11" fillId="5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 indent="1"/>
    </xf>
    <xf numFmtId="168" fontId="12" fillId="8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168" fontId="3" fillId="8" borderId="1" xfId="0" applyNumberFormat="1" applyFont="1" applyFill="1" applyBorder="1" applyAlignment="1">
      <alignment horizontal="right" vertical="center"/>
    </xf>
    <xf numFmtId="168" fontId="13" fillId="5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8" fontId="11" fillId="8" borderId="1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168" fontId="5" fillId="2" borderId="4" xfId="0" applyNumberFormat="1" applyFont="1" applyFill="1" applyBorder="1" applyAlignment="1">
      <alignment horizontal="right" vertical="center"/>
    </xf>
    <xf numFmtId="168" fontId="6" fillId="8" borderId="1" xfId="0" applyNumberFormat="1" applyFont="1" applyFill="1" applyBorder="1" applyAlignment="1">
      <alignment horizontal="right" vertical="center"/>
    </xf>
    <xf numFmtId="168" fontId="6" fillId="6" borderId="1" xfId="0" applyNumberFormat="1" applyFont="1" applyFill="1" applyBorder="1" applyAlignment="1">
      <alignment horizontal="right" vertical="center"/>
    </xf>
    <xf numFmtId="169" fontId="13" fillId="5" borderId="1" xfId="0" applyNumberFormat="1" applyFont="1" applyFill="1" applyBorder="1" applyAlignment="1">
      <alignment horizontal="right" vertical="center"/>
    </xf>
    <xf numFmtId="170" fontId="6" fillId="8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71" fontId="13" fillId="5" borderId="1" xfId="0" applyNumberFormat="1" applyFont="1" applyFill="1" applyBorder="1" applyAlignment="1">
      <alignment horizontal="right" vertical="center"/>
    </xf>
    <xf numFmtId="164" fontId="15" fillId="8" borderId="1" xfId="0" applyNumberFormat="1" applyFont="1" applyFill="1" applyBorder="1" applyAlignment="1">
      <alignment horizontal="right" vertical="center"/>
    </xf>
    <xf numFmtId="164" fontId="16" fillId="6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65" fontId="15" fillId="8" borderId="1" xfId="0" applyNumberFormat="1" applyFont="1" applyFill="1" applyBorder="1" applyAlignment="1">
      <alignment horizontal="right" vertical="center"/>
    </xf>
    <xf numFmtId="165" fontId="16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3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72" fontId="19" fillId="11" borderId="9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 indent="1"/>
    </xf>
    <xf numFmtId="0" fontId="0" fillId="0" borderId="0" xfId="0"/>
    <xf numFmtId="0" fontId="5" fillId="2" borderId="0" xfId="0" applyFont="1" applyFill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0" fillId="0" borderId="6" xfId="0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left" vertical="center" indent="1"/>
    </xf>
    <xf numFmtId="0" fontId="0" fillId="0" borderId="7" xfId="0" applyBorder="1"/>
    <xf numFmtId="0" fontId="14" fillId="0" borderId="2" xfId="0" applyFont="1" applyBorder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indent="1"/>
    </xf>
    <xf numFmtId="0" fontId="18" fillId="10" borderId="5" xfId="0" applyFont="1" applyFill="1" applyBorder="1" applyAlignment="1">
      <alignment horizontal="left" vertical="center" wrapText="1" inden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DE7"/>
      <rgbColor rgb="FFE8F5E9"/>
      <rgbColor rgb="FF660066"/>
      <rgbColor rgb="FFFF8080"/>
      <rgbColor rgb="FF2E5F8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1B3A5C"/>
      <rgbColor rgb="FF2E7D32"/>
      <rgbColor rgb="FF003300"/>
      <rgbColor rgb="FF1B5E20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6"/>
  <sheetViews>
    <sheetView showGridLines="0" tabSelected="1" zoomScaleNormal="100" workbookViewId="0">
      <selection activeCell="B26" sqref="B26:E26"/>
    </sheetView>
  </sheetViews>
  <sheetFormatPr baseColWidth="10" defaultColWidth="8.6640625" defaultRowHeight="15" x14ac:dyDescent="0.2"/>
  <cols>
    <col min="1" max="1" width="3" customWidth="1"/>
    <col min="2" max="2" width="31.1640625" bestFit="1" customWidth="1"/>
    <col min="3" max="3" width="85.83203125" bestFit="1" customWidth="1"/>
    <col min="4" max="4" width="20" customWidth="1"/>
    <col min="5" max="5" width="18" customWidth="1"/>
  </cols>
  <sheetData>
    <row r="2" spans="2:5" ht="36" customHeight="1" x14ac:dyDescent="0.2">
      <c r="B2" s="56" t="s">
        <v>0</v>
      </c>
      <c r="C2" s="51"/>
      <c r="D2" s="51"/>
      <c r="E2" s="51"/>
    </row>
    <row r="3" spans="2:5" ht="21.75" customHeight="1" x14ac:dyDescent="0.2">
      <c r="B3" s="55" t="s">
        <v>1</v>
      </c>
      <c r="C3" s="51"/>
      <c r="D3" s="51"/>
      <c r="E3" s="51"/>
    </row>
    <row r="4" spans="2:5" ht="9.75" customHeight="1" x14ac:dyDescent="0.2"/>
    <row r="5" spans="2:5" ht="18" customHeight="1" x14ac:dyDescent="0.2">
      <c r="B5" s="1" t="s">
        <v>2</v>
      </c>
      <c r="C5" s="53" t="s">
        <v>3</v>
      </c>
      <c r="D5" s="54"/>
      <c r="E5" s="54"/>
    </row>
    <row r="6" spans="2:5" ht="18" customHeight="1" x14ac:dyDescent="0.2">
      <c r="B6" s="1" t="s">
        <v>4</v>
      </c>
      <c r="C6" s="53" t="s">
        <v>5</v>
      </c>
      <c r="D6" s="54"/>
      <c r="E6" s="54"/>
    </row>
    <row r="7" spans="2:5" ht="18" customHeight="1" x14ac:dyDescent="0.2">
      <c r="B7" s="1" t="s">
        <v>6</v>
      </c>
      <c r="C7" s="53" t="s">
        <v>7</v>
      </c>
      <c r="D7" s="54"/>
      <c r="E7" s="54"/>
    </row>
    <row r="8" spans="2:5" ht="18" customHeight="1" x14ac:dyDescent="0.2">
      <c r="B8" s="1" t="s">
        <v>8</v>
      </c>
      <c r="C8" s="53" t="s">
        <v>9</v>
      </c>
      <c r="D8" s="54"/>
      <c r="E8" s="54"/>
    </row>
    <row r="9" spans="2:5" ht="18" customHeight="1" x14ac:dyDescent="0.2">
      <c r="B9" s="1" t="s">
        <v>10</v>
      </c>
      <c r="C9" s="53" t="s">
        <v>11</v>
      </c>
      <c r="D9" s="54"/>
      <c r="E9" s="54"/>
    </row>
    <row r="10" spans="2:5" ht="18" customHeight="1" x14ac:dyDescent="0.2">
      <c r="B10" s="1" t="s">
        <v>12</v>
      </c>
      <c r="C10" s="53" t="s">
        <v>13</v>
      </c>
      <c r="D10" s="54"/>
      <c r="E10" s="54"/>
    </row>
    <row r="11" spans="2:5" ht="18" customHeight="1" x14ac:dyDescent="0.2">
      <c r="B11" s="1" t="s">
        <v>14</v>
      </c>
      <c r="C11" s="53" t="s">
        <v>15</v>
      </c>
      <c r="D11" s="54"/>
      <c r="E11" s="54"/>
    </row>
    <row r="12" spans="2:5" ht="18" customHeight="1" x14ac:dyDescent="0.2">
      <c r="B12" s="1" t="s">
        <v>16</v>
      </c>
      <c r="C12" s="53" t="s">
        <v>17</v>
      </c>
      <c r="D12" s="54"/>
      <c r="E12" s="54"/>
    </row>
    <row r="13" spans="2:5" ht="18" customHeight="1" x14ac:dyDescent="0.2">
      <c r="B13" s="1" t="s">
        <v>18</v>
      </c>
      <c r="C13" s="53" t="s">
        <v>19</v>
      </c>
      <c r="D13" s="54"/>
      <c r="E13" s="54"/>
    </row>
    <row r="14" spans="2:5" ht="18" customHeight="1" x14ac:dyDescent="0.2">
      <c r="B14" s="1" t="s">
        <v>20</v>
      </c>
      <c r="C14" s="53" t="s">
        <v>21</v>
      </c>
      <c r="D14" s="54"/>
      <c r="E14" s="54"/>
    </row>
    <row r="15" spans="2:5" ht="18" customHeight="1" x14ac:dyDescent="0.2">
      <c r="B15" s="1" t="s">
        <v>22</v>
      </c>
      <c r="C15" s="53" t="s">
        <v>23</v>
      </c>
      <c r="D15" s="54"/>
      <c r="E15" s="54"/>
    </row>
    <row r="17" spans="2:5" ht="9.75" customHeight="1" x14ac:dyDescent="0.2"/>
    <row r="18" spans="2:5" ht="18" customHeight="1" x14ac:dyDescent="0.2">
      <c r="B18" s="52" t="s">
        <v>24</v>
      </c>
      <c r="C18" s="51"/>
      <c r="D18" s="51"/>
      <c r="E18" s="51"/>
    </row>
    <row r="19" spans="2:5" ht="18" customHeight="1" x14ac:dyDescent="0.2">
      <c r="B19" s="2" t="s">
        <v>25</v>
      </c>
      <c r="C19" s="3">
        <f>Ratios!C5</f>
        <v>2.6374885733885449</v>
      </c>
      <c r="D19" s="4" t="s">
        <v>26</v>
      </c>
      <c r="E19" s="5" t="s">
        <v>27</v>
      </c>
    </row>
    <row r="20" spans="2:5" ht="18" customHeight="1" x14ac:dyDescent="0.2">
      <c r="B20" s="2" t="s">
        <v>28</v>
      </c>
      <c r="C20" s="6" t="str">
        <f>Ratios!C10</f>
        <v>LTV = Loan Amount ÷ Appraised Collateral Value  |  Source: CSBFP Regulations, Independent Appraisal</v>
      </c>
      <c r="D20" s="4" t="s">
        <v>29</v>
      </c>
      <c r="E20" s="5" t="s">
        <v>27</v>
      </c>
    </row>
    <row r="21" spans="2:5" ht="18" customHeight="1" x14ac:dyDescent="0.2">
      <c r="B21" s="2" t="s">
        <v>30</v>
      </c>
      <c r="C21" s="3">
        <f>Ratios!C15</f>
        <v>0</v>
      </c>
      <c r="D21" s="4" t="s">
        <v>31</v>
      </c>
      <c r="E21" s="5" t="s">
        <v>27</v>
      </c>
    </row>
    <row r="22" spans="2:5" ht="18" customHeight="1" x14ac:dyDescent="0.2">
      <c r="B22" s="2" t="s">
        <v>32</v>
      </c>
      <c r="C22" s="3" t="str">
        <f>Ratios!C20</f>
        <v>D/E = Total Debt ÷ Owner's Equity  |  Source: Management Accounts, Post-Financing</v>
      </c>
      <c r="D22" s="4" t="s">
        <v>33</v>
      </c>
      <c r="E22" s="5" t="s">
        <v>27</v>
      </c>
    </row>
    <row r="23" spans="2:5" ht="18" customHeight="1" x14ac:dyDescent="0.2">
      <c r="B23" s="2" t="s">
        <v>34</v>
      </c>
      <c r="C23" s="3">
        <f>Ratios!C25</f>
        <v>7.1342925659472423</v>
      </c>
      <c r="D23" s="4" t="s">
        <v>35</v>
      </c>
      <c r="E23" s="5" t="s">
        <v>27</v>
      </c>
    </row>
    <row r="25" spans="2:5" ht="9.75" customHeight="1" x14ac:dyDescent="0.2"/>
    <row r="26" spans="2:5" ht="15" customHeight="1" x14ac:dyDescent="0.2">
      <c r="B26" s="50" t="s">
        <v>36</v>
      </c>
      <c r="C26" s="51"/>
      <c r="D26" s="51"/>
      <c r="E26" s="51"/>
    </row>
  </sheetData>
  <mergeCells count="15">
    <mergeCell ref="B3:E3"/>
    <mergeCell ref="B2:E2"/>
    <mergeCell ref="C7:E7"/>
    <mergeCell ref="C15:E15"/>
    <mergeCell ref="C12:E12"/>
    <mergeCell ref="C6:E6"/>
    <mergeCell ref="C10:E10"/>
    <mergeCell ref="B26:E26"/>
    <mergeCell ref="B18:E18"/>
    <mergeCell ref="C14:E14"/>
    <mergeCell ref="C11:E11"/>
    <mergeCell ref="C5:E5"/>
    <mergeCell ref="C13:E13"/>
    <mergeCell ref="C8:E8"/>
    <mergeCell ref="C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8"/>
  <sheetViews>
    <sheetView showGridLines="0" zoomScaleNormal="100" workbookViewId="0">
      <selection activeCell="B3" sqref="B3:D3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18" customWidth="1"/>
    <col min="4" max="4" width="58.83203125" bestFit="1" customWidth="1"/>
    <col min="5" max="5" width="3" customWidth="1"/>
  </cols>
  <sheetData>
    <row r="1" spans="2:4" ht="18" customHeight="1" x14ac:dyDescent="0.2">
      <c r="B1" s="57" t="s">
        <v>37</v>
      </c>
      <c r="C1" s="58"/>
      <c r="D1" s="58"/>
    </row>
    <row r="2" spans="2:4" ht="6" customHeight="1" x14ac:dyDescent="0.2"/>
    <row r="3" spans="2:4" ht="18" customHeight="1" x14ac:dyDescent="0.2">
      <c r="B3" s="57" t="s">
        <v>38</v>
      </c>
      <c r="C3" s="58"/>
      <c r="D3" s="58"/>
    </row>
    <row r="4" spans="2:4" ht="16.5" customHeight="1" x14ac:dyDescent="0.2">
      <c r="B4" s="7" t="s">
        <v>39</v>
      </c>
      <c r="C4" s="8">
        <v>1600000</v>
      </c>
      <c r="D4" s="9" t="s">
        <v>40</v>
      </c>
    </row>
    <row r="5" spans="2:4" ht="16.5" customHeight="1" x14ac:dyDescent="0.2">
      <c r="B5" s="7" t="s">
        <v>41</v>
      </c>
      <c r="C5" s="10">
        <v>0.03</v>
      </c>
      <c r="D5" s="9" t="s">
        <v>42</v>
      </c>
    </row>
    <row r="6" spans="2:4" ht="16.5" customHeight="1" x14ac:dyDescent="0.2">
      <c r="B6" s="7" t="s">
        <v>43</v>
      </c>
      <c r="C6" s="10">
        <v>0.03</v>
      </c>
      <c r="D6" s="9" t="s">
        <v>44</v>
      </c>
    </row>
    <row r="7" spans="2:4" ht="16.5" customHeight="1" x14ac:dyDescent="0.2">
      <c r="B7" s="7" t="s">
        <v>45</v>
      </c>
      <c r="C7" s="10">
        <v>0.13</v>
      </c>
      <c r="D7" s="9" t="s">
        <v>46</v>
      </c>
    </row>
    <row r="8" spans="2:4" ht="16.5" customHeight="1" x14ac:dyDescent="0.2">
      <c r="B8" s="7" t="s">
        <v>47</v>
      </c>
      <c r="C8" s="8">
        <v>34000</v>
      </c>
      <c r="D8" s="9" t="s">
        <v>48</v>
      </c>
    </row>
    <row r="9" spans="2:4" ht="16.5" customHeight="1" x14ac:dyDescent="0.2">
      <c r="B9" s="7" t="s">
        <v>49</v>
      </c>
      <c r="C9" s="8">
        <v>96000</v>
      </c>
      <c r="D9" s="9" t="s">
        <v>50</v>
      </c>
    </row>
    <row r="10" spans="2:4" ht="16.5" customHeight="1" x14ac:dyDescent="0.2">
      <c r="B10" s="7" t="s">
        <v>51</v>
      </c>
      <c r="C10" s="10">
        <v>0.26500000000000001</v>
      </c>
      <c r="D10" s="9" t="s">
        <v>52</v>
      </c>
    </row>
    <row r="11" spans="2:4" ht="6" customHeight="1" x14ac:dyDescent="0.2"/>
    <row r="12" spans="2:4" ht="18" customHeight="1" x14ac:dyDescent="0.2">
      <c r="B12" s="57" t="s">
        <v>53</v>
      </c>
      <c r="C12" s="58"/>
      <c r="D12" s="58"/>
    </row>
    <row r="13" spans="2:4" ht="16.5" customHeight="1" x14ac:dyDescent="0.2">
      <c r="B13" s="7" t="s">
        <v>54</v>
      </c>
      <c r="C13" s="8">
        <v>480000</v>
      </c>
      <c r="D13" s="9" t="s">
        <v>55</v>
      </c>
    </row>
    <row r="14" spans="2:4" ht="16.5" customHeight="1" x14ac:dyDescent="0.2">
      <c r="B14" s="7" t="s">
        <v>56</v>
      </c>
      <c r="C14" s="11">
        <v>4.9500000000000002E-2</v>
      </c>
      <c r="D14" s="9" t="s">
        <v>57</v>
      </c>
    </row>
    <row r="15" spans="2:4" ht="16.5" customHeight="1" x14ac:dyDescent="0.2">
      <c r="B15" s="7" t="s">
        <v>58</v>
      </c>
      <c r="C15" s="11">
        <v>0.02</v>
      </c>
      <c r="D15" s="9" t="s">
        <v>59</v>
      </c>
    </row>
    <row r="16" spans="2:4" ht="16.5" customHeight="1" x14ac:dyDescent="0.2">
      <c r="B16" s="7" t="s">
        <v>60</v>
      </c>
      <c r="C16" s="11">
        <f>C14+C15</f>
        <v>6.9500000000000006E-2</v>
      </c>
      <c r="D16" s="9" t="s">
        <v>61</v>
      </c>
    </row>
    <row r="17" spans="2:4" ht="16.5" customHeight="1" x14ac:dyDescent="0.2">
      <c r="B17" s="7" t="s">
        <v>62</v>
      </c>
      <c r="C17" s="12">
        <v>10</v>
      </c>
      <c r="D17" s="9" t="s">
        <v>63</v>
      </c>
    </row>
    <row r="18" spans="2:4" ht="16.5" customHeight="1" x14ac:dyDescent="0.2">
      <c r="B18" s="7" t="s">
        <v>64</v>
      </c>
      <c r="C18" s="13">
        <v>12</v>
      </c>
      <c r="D18" s="9" t="s">
        <v>65</v>
      </c>
    </row>
    <row r="19" spans="2:4" ht="16.5" customHeight="1" x14ac:dyDescent="0.2">
      <c r="B19" s="7" t="s">
        <v>66</v>
      </c>
      <c r="C19" s="8">
        <f>C13*(C16/C18*(1+C16/C18)^(C17*C18))/((1+C16/C18)^(C17*C18)-1)*C18</f>
        <v>66730.146919226987</v>
      </c>
      <c r="D19" s="9" t="s">
        <v>67</v>
      </c>
    </row>
    <row r="20" spans="2:4" ht="6" customHeight="1" x14ac:dyDescent="0.2"/>
    <row r="21" spans="2:4" ht="18" customHeight="1" x14ac:dyDescent="0.2">
      <c r="B21" s="57" t="s">
        <v>68</v>
      </c>
      <c r="C21" s="58"/>
      <c r="D21" s="58"/>
    </row>
    <row r="22" spans="2:4" ht="16.5" customHeight="1" x14ac:dyDescent="0.2">
      <c r="B22" s="7" t="s">
        <v>69</v>
      </c>
      <c r="C22" s="8">
        <v>210000</v>
      </c>
      <c r="D22" s="9" t="s">
        <v>70</v>
      </c>
    </row>
    <row r="23" spans="2:4" ht="16.5" customHeight="1" x14ac:dyDescent="0.2">
      <c r="B23" s="7" t="s">
        <v>71</v>
      </c>
      <c r="C23" s="8">
        <v>145000</v>
      </c>
      <c r="D23" s="9" t="s">
        <v>72</v>
      </c>
    </row>
    <row r="24" spans="2:4" ht="16.5" customHeight="1" x14ac:dyDescent="0.2">
      <c r="B24" s="7" t="s">
        <v>73</v>
      </c>
      <c r="C24" s="8">
        <v>720000</v>
      </c>
      <c r="D24" s="9" t="s">
        <v>74</v>
      </c>
    </row>
    <row r="25" spans="2:4" ht="16.5" customHeight="1" x14ac:dyDescent="0.2">
      <c r="B25" s="7" t="s">
        <v>75</v>
      </c>
      <c r="C25" s="8">
        <v>180000</v>
      </c>
      <c r="D25" s="9" t="s">
        <v>76</v>
      </c>
    </row>
    <row r="26" spans="2:4" ht="16.5" customHeight="1" x14ac:dyDescent="0.2">
      <c r="B26" s="7" t="s">
        <v>77</v>
      </c>
      <c r="C26" s="8">
        <v>720000</v>
      </c>
      <c r="D26" s="9" t="s">
        <v>78</v>
      </c>
    </row>
    <row r="27" spans="2:4" ht="6" customHeight="1" x14ac:dyDescent="0.2"/>
    <row r="28" spans="2:4" ht="16.5" customHeight="1" x14ac:dyDescent="0.2">
      <c r="B28" s="2" t="s">
        <v>79</v>
      </c>
      <c r="C28" s="10">
        <v>1.4999999999999999E-2</v>
      </c>
      <c r="D28" s="9" t="s">
        <v>80</v>
      </c>
    </row>
  </sheetData>
  <mergeCells count="4">
    <mergeCell ref="B12:D12"/>
    <mergeCell ref="B1:D1"/>
    <mergeCell ref="B21:D21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8"/>
  <sheetViews>
    <sheetView showGridLines="0" zoomScaleNormal="100" workbookViewId="0">
      <selection activeCell="C4" sqref="C4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5" width="16" customWidth="1"/>
    <col min="6" max="6" width="3" customWidth="1"/>
  </cols>
  <sheetData>
    <row r="1" spans="2:5" ht="18" customHeight="1" x14ac:dyDescent="0.2">
      <c r="B1" s="57" t="s">
        <v>81</v>
      </c>
      <c r="C1" s="58"/>
      <c r="D1" s="58"/>
      <c r="E1" s="58"/>
    </row>
    <row r="2" spans="2:5" ht="18" customHeight="1" x14ac:dyDescent="0.2">
      <c r="C2" s="14" t="s">
        <v>82</v>
      </c>
      <c r="D2" s="14" t="s">
        <v>83</v>
      </c>
      <c r="E2" s="14" t="s">
        <v>84</v>
      </c>
    </row>
    <row r="3" spans="2:5" ht="16.5" customHeight="1" x14ac:dyDescent="0.2">
      <c r="B3" s="7" t="s">
        <v>85</v>
      </c>
      <c r="C3" s="15">
        <f>Assumptions!C4</f>
        <v>1600000</v>
      </c>
      <c r="D3" s="15">
        <f>C3*(1+Assumptions!C5)</f>
        <v>1648000</v>
      </c>
      <c r="E3" s="15">
        <f>D3*(1+Assumptions!C6)</f>
        <v>1697440</v>
      </c>
    </row>
    <row r="4" spans="2:5" ht="16.5" customHeight="1" x14ac:dyDescent="0.2">
      <c r="B4" s="7" t="s">
        <v>86</v>
      </c>
      <c r="C4" s="15">
        <f>C3*0.31</f>
        <v>496000</v>
      </c>
      <c r="D4" s="15">
        <f>D3*0.31</f>
        <v>510880</v>
      </c>
      <c r="E4" s="15">
        <f>E3*0.31</f>
        <v>526206.4</v>
      </c>
    </row>
    <row r="5" spans="2:5" ht="16.5" customHeight="1" x14ac:dyDescent="0.2">
      <c r="B5" s="16" t="s">
        <v>87</v>
      </c>
      <c r="C5" s="17">
        <f>C3-C4</f>
        <v>1104000</v>
      </c>
      <c r="D5" s="17">
        <f>D3-D4</f>
        <v>1137120</v>
      </c>
      <c r="E5" s="17">
        <f>E3-E4</f>
        <v>1171233.6000000001</v>
      </c>
    </row>
    <row r="6" spans="2:5" ht="16.5" customHeight="1" x14ac:dyDescent="0.2">
      <c r="B6" s="18" t="s">
        <v>88</v>
      </c>
      <c r="C6" s="19">
        <f>C5/C3</f>
        <v>0.69</v>
      </c>
      <c r="D6" s="19">
        <f>D5/D3</f>
        <v>0.69</v>
      </c>
      <c r="E6" s="19">
        <f>E5/E3</f>
        <v>0.69000000000000006</v>
      </c>
    </row>
    <row r="7" spans="2:5" ht="16.5" customHeight="1" x14ac:dyDescent="0.2">
      <c r="B7" s="7" t="s">
        <v>89</v>
      </c>
      <c r="C7" s="15">
        <f>C3*0.33</f>
        <v>528000</v>
      </c>
      <c r="D7" s="15">
        <f>D3*0.33</f>
        <v>543840</v>
      </c>
      <c r="E7" s="15">
        <f>E3*0.33</f>
        <v>560155.20000000007</v>
      </c>
    </row>
    <row r="8" spans="2:5" ht="16.5" customHeight="1" x14ac:dyDescent="0.2">
      <c r="B8" s="7" t="s">
        <v>90</v>
      </c>
      <c r="C8" s="15">
        <f>Assumptions!C9</f>
        <v>96000</v>
      </c>
      <c r="D8" s="15">
        <f>Assumptions!C9</f>
        <v>96000</v>
      </c>
      <c r="E8" s="15">
        <f>Assumptions!C9</f>
        <v>96000</v>
      </c>
    </row>
    <row r="9" spans="2:5" ht="16.5" customHeight="1" x14ac:dyDescent="0.2">
      <c r="B9" s="7" t="s">
        <v>91</v>
      </c>
      <c r="C9" s="15">
        <f>C3*0.13</f>
        <v>208000</v>
      </c>
      <c r="D9" s="15">
        <f>D3*0.13</f>
        <v>214240</v>
      </c>
      <c r="E9" s="15">
        <f>E3*0.13</f>
        <v>220667.2</v>
      </c>
    </row>
    <row r="10" spans="2:5" ht="16.5" customHeight="1" x14ac:dyDescent="0.2">
      <c r="B10" s="16" t="s">
        <v>92</v>
      </c>
      <c r="C10" s="17">
        <f>SUM(C7:C9)</f>
        <v>832000</v>
      </c>
      <c r="D10" s="17">
        <f>SUM(D7:D9)</f>
        <v>854080</v>
      </c>
      <c r="E10" s="17">
        <f>SUM(E7:E9)</f>
        <v>876822.40000000014</v>
      </c>
    </row>
    <row r="11" spans="2:5" ht="16.5" customHeight="1" x14ac:dyDescent="0.2">
      <c r="B11" s="20" t="s">
        <v>93</v>
      </c>
      <c r="C11" s="21">
        <f>C5-C10</f>
        <v>272000</v>
      </c>
      <c r="D11" s="21">
        <f>D5-D10</f>
        <v>283040</v>
      </c>
      <c r="E11" s="21">
        <f>E5-E10</f>
        <v>294411.19999999995</v>
      </c>
    </row>
    <row r="12" spans="2:5" ht="16.5" customHeight="1" x14ac:dyDescent="0.2">
      <c r="B12" s="18" t="s">
        <v>94</v>
      </c>
      <c r="C12" s="19">
        <f>C11/C3</f>
        <v>0.17</v>
      </c>
      <c r="D12" s="19">
        <f>D11/D3</f>
        <v>0.17174757281553399</v>
      </c>
      <c r="E12" s="19">
        <f>E11/E3</f>
        <v>0.1734442454519747</v>
      </c>
    </row>
    <row r="13" spans="2:5" ht="16.5" customHeight="1" x14ac:dyDescent="0.2">
      <c r="B13" s="7" t="s">
        <v>95</v>
      </c>
      <c r="C13" s="15">
        <f>Assumptions!C8</f>
        <v>34000</v>
      </c>
      <c r="D13" s="15">
        <f>Assumptions!C8</f>
        <v>34000</v>
      </c>
      <c r="E13" s="15">
        <f>Assumptions!C8</f>
        <v>34000</v>
      </c>
    </row>
    <row r="14" spans="2:5" ht="16.5" customHeight="1" x14ac:dyDescent="0.2">
      <c r="B14" s="16" t="s">
        <v>96</v>
      </c>
      <c r="C14" s="17">
        <f>C11-C13</f>
        <v>238000</v>
      </c>
      <c r="D14" s="17">
        <f>D11-D13</f>
        <v>249040</v>
      </c>
      <c r="E14" s="17">
        <f>E11-E13</f>
        <v>260411.19999999995</v>
      </c>
    </row>
    <row r="15" spans="2:5" ht="16.5" customHeight="1" x14ac:dyDescent="0.2">
      <c r="B15" s="7" t="s">
        <v>97</v>
      </c>
      <c r="C15" s="15">
        <f>Assumptions!C19-Debt!C8</f>
        <v>-221558.21409692353</v>
      </c>
      <c r="D15" s="15">
        <f>Assumptions!C19-Debt!D8</f>
        <v>0</v>
      </c>
      <c r="E15" s="15">
        <f>Assumptions!C19-Debt!E8</f>
        <v>20036.041090622457</v>
      </c>
    </row>
    <row r="16" spans="2:5" ht="16.5" customHeight="1" x14ac:dyDescent="0.2">
      <c r="B16" s="16" t="s">
        <v>98</v>
      </c>
      <c r="C16" s="17">
        <f>C14-C15</f>
        <v>459558.21409692353</v>
      </c>
      <c r="D16" s="17">
        <f>D14-D15</f>
        <v>249040</v>
      </c>
      <c r="E16" s="17">
        <f>E14-E15</f>
        <v>240375.1589093775</v>
      </c>
    </row>
    <row r="17" spans="2:5" ht="16.5" customHeight="1" x14ac:dyDescent="0.2">
      <c r="B17" s="7" t="s">
        <v>99</v>
      </c>
      <c r="C17" s="15">
        <f>MAX(C16*Assumptions!C10,0)</f>
        <v>121782.92673568474</v>
      </c>
      <c r="D17" s="15">
        <f>MAX(D16*Assumptions!C10,0)</f>
        <v>65995.600000000006</v>
      </c>
      <c r="E17" s="15">
        <f>MAX(E16*Assumptions!C10,0)</f>
        <v>63699.417110985043</v>
      </c>
    </row>
    <row r="18" spans="2:5" ht="16.5" customHeight="1" x14ac:dyDescent="0.2">
      <c r="B18" s="20" t="s">
        <v>100</v>
      </c>
      <c r="C18" s="21">
        <f>C16-C17</f>
        <v>337775.28736123879</v>
      </c>
      <c r="D18" s="21">
        <f>D16-D17</f>
        <v>183044.4</v>
      </c>
      <c r="E18" s="21">
        <f>E16-E17</f>
        <v>176675.74179839244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5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6" customWidth="1"/>
    <col min="3" max="3" width="18" customWidth="1"/>
    <col min="4" max="4" width="3" customWidth="1"/>
  </cols>
  <sheetData>
    <row r="1" spans="2:3" ht="18" customHeight="1" x14ac:dyDescent="0.2">
      <c r="B1" s="57" t="s">
        <v>101</v>
      </c>
      <c r="C1" s="58"/>
    </row>
    <row r="2" spans="2:3" ht="6" customHeight="1" x14ac:dyDescent="0.2"/>
    <row r="3" spans="2:3" ht="16.5" customHeight="1" x14ac:dyDescent="0.2">
      <c r="B3" s="22" t="s">
        <v>102</v>
      </c>
    </row>
    <row r="4" spans="2:3" ht="16.5" customHeight="1" x14ac:dyDescent="0.2">
      <c r="B4" s="23" t="s">
        <v>103</v>
      </c>
      <c r="C4" s="15">
        <f>Assumptions!C22</f>
        <v>210000</v>
      </c>
    </row>
    <row r="5" spans="2:3" ht="16.5" customHeight="1" x14ac:dyDescent="0.2">
      <c r="B5" s="23" t="s">
        <v>104</v>
      </c>
      <c r="C5" s="15">
        <f>Assumptions!C26</f>
        <v>720000</v>
      </c>
    </row>
    <row r="6" spans="2:3" ht="16.5" customHeight="1" x14ac:dyDescent="0.2">
      <c r="B6" s="24" t="s">
        <v>105</v>
      </c>
      <c r="C6" s="25">
        <f>C4+C5</f>
        <v>930000</v>
      </c>
    </row>
    <row r="7" spans="2:3" ht="16.5" customHeight="1" x14ac:dyDescent="0.2">
      <c r="B7" s="23"/>
    </row>
    <row r="8" spans="2:3" ht="16.5" customHeight="1" x14ac:dyDescent="0.2">
      <c r="B8" s="22" t="s">
        <v>106</v>
      </c>
    </row>
    <row r="9" spans="2:3" ht="16.5" customHeight="1" x14ac:dyDescent="0.2">
      <c r="B9" s="23" t="s">
        <v>107</v>
      </c>
      <c r="C9" s="15">
        <f>Assumptions!C23</f>
        <v>145000</v>
      </c>
    </row>
    <row r="10" spans="2:3" ht="16.5" customHeight="1" x14ac:dyDescent="0.2">
      <c r="B10" s="23" t="s">
        <v>108</v>
      </c>
      <c r="C10" s="15">
        <f>Assumptions!C13</f>
        <v>480000</v>
      </c>
    </row>
    <row r="11" spans="2:3" ht="16.5" customHeight="1" x14ac:dyDescent="0.2">
      <c r="B11" s="24" t="s">
        <v>109</v>
      </c>
      <c r="C11" s="25">
        <f>C9+C10</f>
        <v>625000</v>
      </c>
    </row>
    <row r="12" spans="2:3" ht="16.5" customHeight="1" x14ac:dyDescent="0.2">
      <c r="B12" s="23"/>
    </row>
    <row r="13" spans="2:3" ht="16.5" customHeight="1" x14ac:dyDescent="0.2">
      <c r="B13" s="22" t="s">
        <v>110</v>
      </c>
    </row>
    <row r="14" spans="2:3" ht="16.5" customHeight="1" x14ac:dyDescent="0.2">
      <c r="B14" s="23" t="s">
        <v>111</v>
      </c>
      <c r="C14" s="26">
        <f>C6-C11</f>
        <v>305000</v>
      </c>
    </row>
    <row r="15" spans="2:3" ht="16.5" customHeight="1" x14ac:dyDescent="0.2">
      <c r="B15" s="24" t="s">
        <v>112</v>
      </c>
      <c r="C15" s="25">
        <f>C11+C14</f>
        <v>930000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4" customWidth="1"/>
    <col min="3" max="8" width="16" customWidth="1"/>
    <col min="9" max="9" width="3" customWidth="1"/>
  </cols>
  <sheetData>
    <row r="1" spans="2:7" ht="18" customHeight="1" x14ac:dyDescent="0.2">
      <c r="B1" s="57" t="s">
        <v>113</v>
      </c>
      <c r="C1" s="58"/>
      <c r="D1" s="58"/>
      <c r="E1" s="58"/>
      <c r="F1" s="58"/>
      <c r="G1" s="58"/>
    </row>
    <row r="2" spans="2:7" ht="18" customHeight="1" x14ac:dyDescent="0.2">
      <c r="B2" s="14" t="s">
        <v>114</v>
      </c>
      <c r="C2" s="14" t="s">
        <v>115</v>
      </c>
      <c r="D2" s="14" t="s">
        <v>116</v>
      </c>
      <c r="E2" s="14" t="s">
        <v>117</v>
      </c>
      <c r="F2" s="14" t="s">
        <v>118</v>
      </c>
      <c r="G2" s="14" t="s">
        <v>119</v>
      </c>
    </row>
    <row r="3" spans="2:7" ht="16.5" customHeight="1" x14ac:dyDescent="0.2">
      <c r="B3" s="27">
        <v>1</v>
      </c>
      <c r="C3" s="15">
        <f>Assumptions!C13</f>
        <v>480000</v>
      </c>
      <c r="D3" s="15">
        <f>Assumptions!C19</f>
        <v>66730.146919226987</v>
      </c>
      <c r="E3" s="15">
        <f t="shared" ref="E3:E12" si="0">D3-F3</f>
        <v>33370.146919226987</v>
      </c>
      <c r="F3" s="15">
        <f>C3*Assumptions!C16</f>
        <v>33360</v>
      </c>
      <c r="G3" s="17">
        <f t="shared" ref="G3:G12" si="1">MAX(C3-E3,0)</f>
        <v>446629.85308077303</v>
      </c>
    </row>
    <row r="4" spans="2:7" ht="16.5" customHeight="1" x14ac:dyDescent="0.2">
      <c r="B4" s="28">
        <v>2</v>
      </c>
      <c r="C4" s="29">
        <f t="shared" ref="C4:C12" si="2">G3</f>
        <v>446629.85308077303</v>
      </c>
      <c r="D4" s="29">
        <f>Assumptions!C19</f>
        <v>66730.146919226987</v>
      </c>
      <c r="E4" s="29">
        <f t="shared" si="0"/>
        <v>35689.372130113261</v>
      </c>
      <c r="F4" s="29">
        <f>C4*Assumptions!C16</f>
        <v>31040.77478911373</v>
      </c>
      <c r="G4" s="21">
        <f t="shared" si="1"/>
        <v>410940.48095065978</v>
      </c>
    </row>
    <row r="5" spans="2:7" ht="16.5" customHeight="1" x14ac:dyDescent="0.2">
      <c r="B5" s="27">
        <v>3</v>
      </c>
      <c r="C5" s="15">
        <f t="shared" si="2"/>
        <v>410940.48095065978</v>
      </c>
      <c r="D5" s="15">
        <f>Assumptions!C19</f>
        <v>66730.146919226987</v>
      </c>
      <c r="E5" s="15">
        <f t="shared" si="0"/>
        <v>38169.78349315613</v>
      </c>
      <c r="F5" s="15">
        <f>C5*Assumptions!C16</f>
        <v>28560.363426070857</v>
      </c>
      <c r="G5" s="17">
        <f t="shared" si="1"/>
        <v>372770.69745750364</v>
      </c>
    </row>
    <row r="6" spans="2:7" ht="16.5" customHeight="1" x14ac:dyDescent="0.2">
      <c r="B6" s="28">
        <v>4</v>
      </c>
      <c r="C6" s="29">
        <f t="shared" si="2"/>
        <v>372770.69745750364</v>
      </c>
      <c r="D6" s="29">
        <f>Assumptions!C19</f>
        <v>66730.146919226987</v>
      </c>
      <c r="E6" s="29">
        <f t="shared" si="0"/>
        <v>40822.583445930482</v>
      </c>
      <c r="F6" s="29">
        <f>C6*Assumptions!C16</f>
        <v>25907.563473296505</v>
      </c>
      <c r="G6" s="21">
        <f t="shared" si="1"/>
        <v>331948.11401157314</v>
      </c>
    </row>
    <row r="7" spans="2:7" ht="16.5" customHeight="1" x14ac:dyDescent="0.2">
      <c r="B7" s="27">
        <v>5</v>
      </c>
      <c r="C7" s="15">
        <f t="shared" si="2"/>
        <v>331948.11401157314</v>
      </c>
      <c r="D7" s="15">
        <f>Assumptions!C19</f>
        <v>66730.146919226987</v>
      </c>
      <c r="E7" s="15">
        <f t="shared" si="0"/>
        <v>43659.752995422648</v>
      </c>
      <c r="F7" s="15">
        <f>C7*Assumptions!C16</f>
        <v>23070.393923804335</v>
      </c>
      <c r="G7" s="17">
        <f t="shared" si="1"/>
        <v>288288.36101615051</v>
      </c>
    </row>
    <row r="8" spans="2:7" ht="16.5" customHeight="1" x14ac:dyDescent="0.2">
      <c r="B8" s="28">
        <v>6</v>
      </c>
      <c r="C8" s="29">
        <f t="shared" si="2"/>
        <v>288288.36101615051</v>
      </c>
      <c r="D8" s="29">
        <f>Assumptions!C19</f>
        <v>66730.146919226987</v>
      </c>
      <c r="E8" s="29">
        <f t="shared" si="0"/>
        <v>46694.10582860453</v>
      </c>
      <c r="F8" s="29">
        <f>C8*Assumptions!C16</f>
        <v>20036.041090622461</v>
      </c>
      <c r="G8" s="21">
        <f t="shared" si="1"/>
        <v>241594.25518754596</v>
      </c>
    </row>
    <row r="9" spans="2:7" ht="16.5" customHeight="1" x14ac:dyDescent="0.2">
      <c r="B9" s="27">
        <v>7</v>
      </c>
      <c r="C9" s="15">
        <f t="shared" si="2"/>
        <v>241594.25518754596</v>
      </c>
      <c r="D9" s="15">
        <f>Assumptions!C19</f>
        <v>66730.146919226987</v>
      </c>
      <c r="E9" s="15">
        <f t="shared" si="0"/>
        <v>49939.346183692542</v>
      </c>
      <c r="F9" s="15">
        <f>C9*Assumptions!C16</f>
        <v>16790.800735534445</v>
      </c>
      <c r="G9" s="17">
        <f t="shared" si="1"/>
        <v>191654.90900385342</v>
      </c>
    </row>
    <row r="10" spans="2:7" ht="16.5" customHeight="1" x14ac:dyDescent="0.2">
      <c r="B10" s="28">
        <v>8</v>
      </c>
      <c r="C10" s="29">
        <f t="shared" si="2"/>
        <v>191654.90900385342</v>
      </c>
      <c r="D10" s="29">
        <f>Assumptions!C19</f>
        <v>66730.146919226987</v>
      </c>
      <c r="E10" s="29">
        <f t="shared" si="0"/>
        <v>53410.130743459173</v>
      </c>
      <c r="F10" s="29">
        <f>C10*Assumptions!C16</f>
        <v>13320.016175767814</v>
      </c>
      <c r="G10" s="21">
        <f t="shared" si="1"/>
        <v>138244.77826039423</v>
      </c>
    </row>
    <row r="11" spans="2:7" ht="16.5" customHeight="1" x14ac:dyDescent="0.2">
      <c r="B11" s="27">
        <v>9</v>
      </c>
      <c r="C11" s="15">
        <f t="shared" si="2"/>
        <v>138244.77826039423</v>
      </c>
      <c r="D11" s="15">
        <f>Assumptions!C19</f>
        <v>66730.146919226987</v>
      </c>
      <c r="E11" s="15">
        <f t="shared" si="0"/>
        <v>57122.134830129587</v>
      </c>
      <c r="F11" s="15">
        <f>C11*Assumptions!C16</f>
        <v>9608.0120890973994</v>
      </c>
      <c r="G11" s="17">
        <f t="shared" si="1"/>
        <v>81122.643430264638</v>
      </c>
    </row>
    <row r="12" spans="2:7" ht="16.5" customHeight="1" x14ac:dyDescent="0.2">
      <c r="B12" s="28">
        <v>10</v>
      </c>
      <c r="C12" s="29">
        <f t="shared" si="2"/>
        <v>81122.643430264638</v>
      </c>
      <c r="D12" s="29">
        <f>Assumptions!C19</f>
        <v>66730.146919226987</v>
      </c>
      <c r="E12" s="29">
        <f t="shared" si="0"/>
        <v>61092.123200823597</v>
      </c>
      <c r="F12" s="29">
        <f>C12*Assumptions!C16</f>
        <v>5638.0237184033931</v>
      </c>
      <c r="G12" s="21">
        <f t="shared" si="1"/>
        <v>20030.520229441041</v>
      </c>
    </row>
    <row r="13" spans="2:7" ht="18" customHeight="1" x14ac:dyDescent="0.2">
      <c r="B13" s="30" t="s">
        <v>120</v>
      </c>
      <c r="D13" s="31">
        <f>SUM(D3:D12)</f>
        <v>667301.46919226984</v>
      </c>
      <c r="E13" s="31">
        <f>SUM(E3:E12)</f>
        <v>459969.47977055889</v>
      </c>
      <c r="F13" s="31">
        <f>SUM(F3:F12)</f>
        <v>207331.98942171092</v>
      </c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5"/>
  <sheetViews>
    <sheetView showGridLines="0" zoomScaleNormal="100" workbookViewId="0">
      <selection activeCell="B25" sqref="B25:E25"/>
    </sheetView>
  </sheetViews>
  <sheetFormatPr baseColWidth="10" defaultColWidth="8.6640625" defaultRowHeight="15" x14ac:dyDescent="0.2"/>
  <cols>
    <col min="1" max="1" width="3" customWidth="1"/>
    <col min="2" max="2" width="44.83203125" bestFit="1" customWidth="1"/>
    <col min="3" max="3" width="12.6640625" bestFit="1" customWidth="1"/>
    <col min="4" max="4" width="16" customWidth="1"/>
    <col min="5" max="5" width="13.83203125" customWidth="1"/>
    <col min="6" max="6" width="9.5" customWidth="1"/>
  </cols>
  <sheetData>
    <row r="1" spans="2:7" ht="18" customHeight="1" x14ac:dyDescent="0.2">
      <c r="B1" s="57" t="s">
        <v>121</v>
      </c>
      <c r="C1" s="58"/>
      <c r="D1" s="58"/>
      <c r="E1" s="58"/>
    </row>
    <row r="2" spans="2:7" ht="18" customHeight="1" x14ac:dyDescent="0.2">
      <c r="C2" s="14" t="s">
        <v>82</v>
      </c>
      <c r="D2" s="14" t="s">
        <v>83</v>
      </c>
      <c r="E2" s="14" t="s">
        <v>84</v>
      </c>
    </row>
    <row r="3" spans="2:7" ht="18" customHeight="1" x14ac:dyDescent="0.2">
      <c r="B3" s="57" t="s">
        <v>122</v>
      </c>
      <c r="C3" s="58"/>
      <c r="D3" s="58"/>
      <c r="E3" s="58"/>
    </row>
    <row r="4" spans="2:7" ht="16.5" customHeight="1" x14ac:dyDescent="0.2">
      <c r="B4" s="1" t="s">
        <v>93</v>
      </c>
      <c r="C4" s="32">
        <f>'Income Statement'!C11</f>
        <v>272000</v>
      </c>
      <c r="D4" s="32">
        <f>'Income Statement'!D11</f>
        <v>283040</v>
      </c>
      <c r="E4" s="32">
        <f>'Income Statement'!E11</f>
        <v>294411.19999999995</v>
      </c>
      <c r="F4" s="32">
        <f>'Income Statement'!D11</f>
        <v>283040</v>
      </c>
      <c r="G4" s="32">
        <f>'Income Statement'!E11</f>
        <v>294411.19999999995</v>
      </c>
    </row>
    <row r="5" spans="2:7" ht="16.5" customHeight="1" x14ac:dyDescent="0.2">
      <c r="B5" s="2" t="s">
        <v>123</v>
      </c>
      <c r="C5" s="26">
        <f>-'Income Statement'!C17</f>
        <v>-121782.92673568474</v>
      </c>
      <c r="D5" s="26">
        <f>-'Income Statement'!D17</f>
        <v>-65995.600000000006</v>
      </c>
      <c r="E5" s="26">
        <f>-'Income Statement'!E17</f>
        <v>-63699.417110985043</v>
      </c>
    </row>
    <row r="6" spans="2:7" ht="16.5" customHeight="1" x14ac:dyDescent="0.2">
      <c r="B6" s="2" t="s">
        <v>124</v>
      </c>
      <c r="C6" s="26">
        <f>-'Income Statement'!C3*Assumptions!C28</f>
        <v>-24000</v>
      </c>
      <c r="D6" s="26">
        <f>-'Income Statement'!D3*Assumptions!C28</f>
        <v>-24720</v>
      </c>
      <c r="E6" s="26">
        <f>-'Income Statement'!E3*Assumptions!C28</f>
        <v>-25461.599999999999</v>
      </c>
    </row>
    <row r="7" spans="2:7" ht="16.5" customHeight="1" x14ac:dyDescent="0.2">
      <c r="B7" s="2" t="s">
        <v>125</v>
      </c>
      <c r="C7" s="49">
        <v>0</v>
      </c>
      <c r="D7" s="26">
        <f>-('Income Statement'!D3-'Income Statement'!C3)*0.01</f>
        <v>-480</v>
      </c>
      <c r="E7" s="26">
        <f>-('Income Statement'!E3-'Income Statement'!D3)*0.01</f>
        <v>-494.40000000000003</v>
      </c>
    </row>
    <row r="8" spans="2:7" ht="16.5" customHeight="1" x14ac:dyDescent="0.2">
      <c r="B8" s="1" t="s">
        <v>126</v>
      </c>
      <c r="C8" s="32">
        <f>C4+C5+C6+C7</f>
        <v>126217.07326431526</v>
      </c>
      <c r="D8" s="32">
        <f>D4+D5+D6+D7</f>
        <v>191844.4</v>
      </c>
      <c r="E8" s="32">
        <f>E4+E5+E6+E7</f>
        <v>204755.78288901492</v>
      </c>
    </row>
    <row r="9" spans="2:7" ht="6" customHeight="1" x14ac:dyDescent="0.2"/>
    <row r="10" spans="2:7" ht="18" customHeight="1" x14ac:dyDescent="0.2">
      <c r="B10" s="57" t="s">
        <v>127</v>
      </c>
      <c r="C10" s="58"/>
      <c r="D10" s="58"/>
      <c r="E10" s="58"/>
    </row>
    <row r="11" spans="2:7" ht="16.5" customHeight="1" x14ac:dyDescent="0.2">
      <c r="B11" s="2" t="s">
        <v>128</v>
      </c>
      <c r="C11" s="26">
        <f>-Assumptions!C19</f>
        <v>-66730.146919226987</v>
      </c>
      <c r="D11" s="26">
        <f>-Assumptions!C19</f>
        <v>-66730.146919226987</v>
      </c>
      <c r="E11" s="26">
        <f>-Assumptions!C19</f>
        <v>-66730.146919226987</v>
      </c>
    </row>
    <row r="12" spans="2:7" ht="16.5" customHeight="1" x14ac:dyDescent="0.2">
      <c r="B12" s="2" t="s">
        <v>129</v>
      </c>
      <c r="C12" s="26">
        <f>-Debt!F3</f>
        <v>-33360</v>
      </c>
      <c r="D12" s="26">
        <f>-Debt!F4</f>
        <v>-31040.77478911373</v>
      </c>
      <c r="E12" s="26">
        <f>-Debt!F5</f>
        <v>-28560.363426070857</v>
      </c>
    </row>
    <row r="13" spans="2:7" ht="16.5" customHeight="1" x14ac:dyDescent="0.2">
      <c r="B13" s="2" t="s">
        <v>130</v>
      </c>
      <c r="C13" s="26">
        <f>-Debt!E3</f>
        <v>-33370.146919226987</v>
      </c>
      <c r="D13" s="26">
        <f>-Debt!E4</f>
        <v>-35689.372130113261</v>
      </c>
      <c r="E13" s="26">
        <f>-Debt!E5</f>
        <v>-38169.78349315613</v>
      </c>
    </row>
    <row r="14" spans="2:7" ht="6" customHeight="1" x14ac:dyDescent="0.2"/>
    <row r="15" spans="2:7" ht="18" customHeight="1" x14ac:dyDescent="0.2">
      <c r="B15" s="57" t="s">
        <v>131</v>
      </c>
      <c r="C15" s="58"/>
      <c r="D15" s="58"/>
      <c r="E15" s="58"/>
    </row>
    <row r="16" spans="2:7" ht="16.5" customHeight="1" x14ac:dyDescent="0.2">
      <c r="B16" s="1" t="s">
        <v>132</v>
      </c>
      <c r="C16" s="33">
        <f>C8+C11</f>
        <v>59486.926345088272</v>
      </c>
      <c r="D16" s="33">
        <f>D8+D11</f>
        <v>125114.25308077301</v>
      </c>
      <c r="E16" s="33">
        <f>E8+E11</f>
        <v>138025.63596978795</v>
      </c>
    </row>
    <row r="17" spans="2:5" ht="16.5" customHeight="1" x14ac:dyDescent="0.2">
      <c r="B17" s="2" t="s">
        <v>133</v>
      </c>
      <c r="C17" s="34">
        <f>C16/'Income Statement'!C3</f>
        <v>3.7179328965680172E-2</v>
      </c>
      <c r="D17" s="34">
        <f>D16/'Income Statement'!D3</f>
        <v>7.5918842888818575E-2</v>
      </c>
      <c r="E17" s="34">
        <f>E16/'Income Statement'!E3</f>
        <v>8.1313999887941815E-2</v>
      </c>
    </row>
    <row r="18" spans="2:5" ht="16.5" customHeight="1" x14ac:dyDescent="0.2">
      <c r="B18" s="2" t="s">
        <v>134</v>
      </c>
      <c r="C18" s="26">
        <f>C16</f>
        <v>59486.926345088272</v>
      </c>
      <c r="D18" s="26">
        <f>C18+D16</f>
        <v>184601.17942586128</v>
      </c>
      <c r="E18" s="26">
        <f>D18+E16</f>
        <v>322626.81539564923</v>
      </c>
    </row>
    <row r="19" spans="2:5" ht="6" customHeight="1" x14ac:dyDescent="0.2"/>
    <row r="20" spans="2:5" ht="18" customHeight="1" x14ac:dyDescent="0.2">
      <c r="B20" s="57" t="s">
        <v>135</v>
      </c>
      <c r="C20" s="58"/>
      <c r="D20" s="58"/>
      <c r="E20" s="58"/>
    </row>
    <row r="21" spans="2:5" ht="16.5" customHeight="1" x14ac:dyDescent="0.2">
      <c r="B21" s="1" t="s">
        <v>136</v>
      </c>
      <c r="C21" s="35">
        <f>C8/Assumptions!C19</f>
        <v>1.8914550483021382</v>
      </c>
      <c r="D21" s="35">
        <f>D8/Assumptions!C19</f>
        <v>2.8749284822078489</v>
      </c>
      <c r="E21" s="35">
        <f>E8/Assumptions!C19</f>
        <v>3.0684149869602422</v>
      </c>
    </row>
    <row r="22" spans="2:5" ht="16.5" customHeight="1" x14ac:dyDescent="0.2">
      <c r="B22" s="2" t="s">
        <v>137</v>
      </c>
      <c r="C22" s="36">
        <v>1.25</v>
      </c>
      <c r="D22" s="36">
        <v>1.25</v>
      </c>
      <c r="E22" s="36">
        <v>1.25</v>
      </c>
    </row>
    <row r="23" spans="2:5" ht="16.5" customHeight="1" x14ac:dyDescent="0.2">
      <c r="B23" s="2" t="s">
        <v>138</v>
      </c>
      <c r="C23" s="37">
        <f>C21-1.25</f>
        <v>0.64145504830213818</v>
      </c>
      <c r="D23" s="37">
        <f>D21-1.25</f>
        <v>1.6249284822078489</v>
      </c>
      <c r="E23" s="37">
        <f>E21-1.25</f>
        <v>1.8184149869602422</v>
      </c>
    </row>
    <row r="24" spans="2:5" ht="6" customHeight="1" x14ac:dyDescent="0.2"/>
    <row r="25" spans="2:5" ht="43" customHeight="1" x14ac:dyDescent="0.2">
      <c r="B25" s="59" t="s">
        <v>139</v>
      </c>
      <c r="C25" s="54"/>
      <c r="D25" s="54"/>
      <c r="E25" s="54"/>
    </row>
  </sheetData>
  <mergeCells count="6">
    <mergeCell ref="B1:E1"/>
    <mergeCell ref="B15:E15"/>
    <mergeCell ref="B25:E25"/>
    <mergeCell ref="B3:E3"/>
    <mergeCell ref="B20:E20"/>
    <mergeCell ref="B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8" bestFit="1" customWidth="1"/>
    <col min="3" max="3" width="16" customWidth="1"/>
    <col min="4" max="4" width="12" bestFit="1" customWidth="1"/>
    <col min="5" max="5" width="15.83203125" bestFit="1" customWidth="1"/>
    <col min="6" max="6" width="53" customWidth="1"/>
    <col min="7" max="7" width="3" customWidth="1"/>
  </cols>
  <sheetData>
    <row r="1" spans="2:6" ht="18" customHeight="1" x14ac:dyDescent="0.2">
      <c r="B1" s="57" t="s">
        <v>140</v>
      </c>
      <c r="C1" s="58"/>
      <c r="D1" s="58"/>
      <c r="E1" s="58"/>
      <c r="F1" s="58"/>
    </row>
    <row r="2" spans="2:6" ht="18" customHeight="1" x14ac:dyDescent="0.2">
      <c r="C2" s="14" t="s">
        <v>141</v>
      </c>
      <c r="D2" s="14" t="s">
        <v>142</v>
      </c>
      <c r="E2" s="14" t="s">
        <v>143</v>
      </c>
      <c r="F2" s="14" t="s">
        <v>144</v>
      </c>
    </row>
    <row r="3" spans="2:6" ht="18" customHeight="1" x14ac:dyDescent="0.2">
      <c r="B3" s="57" t="s">
        <v>145</v>
      </c>
      <c r="C3" s="58"/>
      <c r="D3" s="58"/>
      <c r="E3" s="58"/>
      <c r="F3" s="58"/>
    </row>
    <row r="4" spans="2:6" ht="16.5" customHeight="1" x14ac:dyDescent="0.2">
      <c r="B4" s="18" t="s">
        <v>146</v>
      </c>
      <c r="C4" s="26">
        <f>'Income Statement'!C11-Assumptions!C9</f>
        <v>176000</v>
      </c>
      <c r="D4" s="60" t="s">
        <v>147</v>
      </c>
      <c r="E4" s="54"/>
      <c r="F4" s="54"/>
    </row>
    <row r="5" spans="2:6" ht="16.5" customHeight="1" x14ac:dyDescent="0.2">
      <c r="B5" s="20" t="s">
        <v>148</v>
      </c>
      <c r="C5" s="38">
        <f>('Income Statement'!C11-Assumptions!C9)/Assumptions!C19</f>
        <v>2.6374885733885449</v>
      </c>
      <c r="D5" s="39">
        <v>1.25</v>
      </c>
      <c r="E5" s="40" t="s">
        <v>149</v>
      </c>
      <c r="F5" s="5" t="str">
        <f>IF(C5&gt;=1.25,"✓ PASS","✗ FAIL")</f>
        <v>✓ PASS</v>
      </c>
    </row>
    <row r="6" spans="2:6" ht="16.5" customHeight="1" x14ac:dyDescent="0.2">
      <c r="B6" s="18" t="s">
        <v>150</v>
      </c>
      <c r="C6" s="60" t="s">
        <v>151</v>
      </c>
      <c r="D6" s="54"/>
      <c r="E6" s="54"/>
      <c r="F6" s="54"/>
    </row>
    <row r="7" spans="2:6" ht="6" customHeight="1" x14ac:dyDescent="0.2"/>
    <row r="8" spans="2:6" ht="18" customHeight="1" x14ac:dyDescent="0.2">
      <c r="B8" s="57" t="s">
        <v>152</v>
      </c>
      <c r="C8" s="58"/>
      <c r="D8" s="58"/>
      <c r="E8" s="58"/>
      <c r="F8" s="58"/>
    </row>
    <row r="9" spans="2:6" ht="16.5" customHeight="1" x14ac:dyDescent="0.2">
      <c r="B9" s="20" t="s">
        <v>153</v>
      </c>
      <c r="C9" s="41">
        <f>Assumptions!C13/Assumptions!C26</f>
        <v>0.66666666666666663</v>
      </c>
      <c r="D9" s="42">
        <v>0.75</v>
      </c>
      <c r="E9" s="40" t="s">
        <v>154</v>
      </c>
      <c r="F9" s="5" t="str">
        <f>IF(C9&lt;=0.75,"✓ PASS","✗ FAIL")</f>
        <v>✓ PASS</v>
      </c>
    </row>
    <row r="10" spans="2:6" ht="16.5" customHeight="1" x14ac:dyDescent="0.2">
      <c r="B10" s="18" t="s">
        <v>150</v>
      </c>
      <c r="C10" s="60" t="s">
        <v>155</v>
      </c>
      <c r="D10" s="54"/>
      <c r="E10" s="54"/>
      <c r="F10" s="54"/>
    </row>
    <row r="11" spans="2:6" ht="6" customHeight="1" x14ac:dyDescent="0.2"/>
    <row r="12" spans="2:6" ht="18" customHeight="1" x14ac:dyDescent="0.2">
      <c r="B12" s="57" t="s">
        <v>156</v>
      </c>
      <c r="C12" s="58"/>
      <c r="D12" s="58"/>
      <c r="E12" s="58"/>
      <c r="F12" s="58"/>
    </row>
    <row r="13" spans="2:6" ht="16.5" customHeight="1" x14ac:dyDescent="0.2">
      <c r="B13" s="20" t="s">
        <v>30</v>
      </c>
      <c r="C13" s="38">
        <f>Assumptions!C22/Assumptions!C23</f>
        <v>1.4482758620689655</v>
      </c>
      <c r="D13" s="39">
        <v>1.2</v>
      </c>
      <c r="E13" s="40" t="s">
        <v>157</v>
      </c>
      <c r="F13" s="5" t="str">
        <f>IF(C13&gt;=1.2,"✓ PASS","✗ FAIL")</f>
        <v>✓ PASS</v>
      </c>
    </row>
    <row r="14" spans="2:6" ht="16.5" customHeight="1" x14ac:dyDescent="0.2">
      <c r="B14" s="18" t="s">
        <v>150</v>
      </c>
      <c r="C14" s="60" t="s">
        <v>158</v>
      </c>
      <c r="D14" s="54"/>
      <c r="E14" s="54"/>
      <c r="F14" s="54"/>
    </row>
    <row r="15" spans="2:6" ht="6" customHeight="1" x14ac:dyDescent="0.2"/>
    <row r="16" spans="2:6" ht="18" customHeight="1" x14ac:dyDescent="0.2">
      <c r="B16" s="57" t="s">
        <v>159</v>
      </c>
      <c r="C16" s="58"/>
      <c r="D16" s="58"/>
      <c r="E16" s="58"/>
      <c r="F16" s="58"/>
    </row>
    <row r="17" spans="2:6" ht="16.5" customHeight="1" x14ac:dyDescent="0.2">
      <c r="B17" s="18" t="s">
        <v>160</v>
      </c>
      <c r="C17" s="26">
        <f>Assumptions!C13</f>
        <v>480000</v>
      </c>
    </row>
    <row r="18" spans="2:6" ht="16.5" customHeight="1" x14ac:dyDescent="0.2">
      <c r="B18" s="18" t="s">
        <v>75</v>
      </c>
      <c r="C18" s="26">
        <f>Assumptions!C25</f>
        <v>180000</v>
      </c>
    </row>
    <row r="19" spans="2:6" ht="16.5" customHeight="1" x14ac:dyDescent="0.2">
      <c r="B19" s="20" t="s">
        <v>161</v>
      </c>
      <c r="C19" s="38">
        <f>C17/C18</f>
        <v>2.6666666666666665</v>
      </c>
      <c r="D19" s="39">
        <v>3.5</v>
      </c>
      <c r="E19" s="40" t="s">
        <v>162</v>
      </c>
      <c r="F19" s="5" t="str">
        <f>IF(C19&lt;=3.5,"✓ PASS","✗ FAIL")</f>
        <v>✓ PASS</v>
      </c>
    </row>
    <row r="20" spans="2:6" ht="16.5" customHeight="1" x14ac:dyDescent="0.2">
      <c r="B20" s="18" t="s">
        <v>150</v>
      </c>
      <c r="C20" s="60" t="s">
        <v>163</v>
      </c>
      <c r="D20" s="54"/>
      <c r="E20" s="54"/>
      <c r="F20" s="54"/>
    </row>
    <row r="21" spans="2:6" ht="6" customHeight="1" x14ac:dyDescent="0.2"/>
    <row r="22" spans="2:6" ht="18" customHeight="1" x14ac:dyDescent="0.2">
      <c r="B22" s="57" t="s">
        <v>164</v>
      </c>
      <c r="C22" s="58"/>
      <c r="D22" s="58"/>
      <c r="E22" s="58"/>
      <c r="F22" s="58"/>
    </row>
    <row r="23" spans="2:6" ht="16.5" customHeight="1" x14ac:dyDescent="0.2">
      <c r="B23" s="18" t="s">
        <v>165</v>
      </c>
      <c r="C23" s="26">
        <f>'Income Statement'!C14</f>
        <v>238000</v>
      </c>
    </row>
    <row r="24" spans="2:6" ht="16.5" customHeight="1" x14ac:dyDescent="0.2">
      <c r="B24" s="18" t="s">
        <v>166</v>
      </c>
      <c r="C24" s="26">
        <f>Debt!F3</f>
        <v>33360</v>
      </c>
    </row>
    <row r="25" spans="2:6" ht="16.5" customHeight="1" x14ac:dyDescent="0.2">
      <c r="B25" s="20" t="s">
        <v>167</v>
      </c>
      <c r="C25" s="38">
        <f>C23/C24</f>
        <v>7.1342925659472423</v>
      </c>
      <c r="D25" s="39">
        <v>2</v>
      </c>
      <c r="E25" s="40" t="s">
        <v>168</v>
      </c>
      <c r="F25" s="5" t="str">
        <f>IF(C25&gt;=2,"✓ PASS","✗ FAIL")</f>
        <v>✓ PASS</v>
      </c>
    </row>
    <row r="26" spans="2:6" ht="16.5" customHeight="1" x14ac:dyDescent="0.2">
      <c r="B26" s="18" t="s">
        <v>150</v>
      </c>
      <c r="C26" s="60" t="s">
        <v>169</v>
      </c>
      <c r="D26" s="54"/>
      <c r="E26" s="54"/>
      <c r="F26" s="54"/>
    </row>
  </sheetData>
  <mergeCells count="12">
    <mergeCell ref="C26:F26"/>
    <mergeCell ref="C6:F6"/>
    <mergeCell ref="B1:F1"/>
    <mergeCell ref="B8:F8"/>
    <mergeCell ref="C10:F10"/>
    <mergeCell ref="B22:F22"/>
    <mergeCell ref="C14:F14"/>
    <mergeCell ref="B12:F12"/>
    <mergeCell ref="B16:F16"/>
    <mergeCell ref="C20:F20"/>
    <mergeCell ref="D4:F4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26"/>
  <sheetViews>
    <sheetView showGridLines="0" zoomScaleNormal="100" workbookViewId="0">
      <selection activeCell="D30" sqref="D30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22" customWidth="1"/>
    <col min="4" max="4" width="55.83203125" customWidth="1"/>
    <col min="5" max="5" width="3" customWidth="1"/>
  </cols>
  <sheetData>
    <row r="1" spans="2:4" ht="18" customHeight="1" x14ac:dyDescent="0.2">
      <c r="B1" s="57" t="s">
        <v>170</v>
      </c>
      <c r="C1" s="58"/>
      <c r="D1" s="58"/>
    </row>
    <row r="2" spans="2:4" ht="6" customHeight="1" x14ac:dyDescent="0.2"/>
    <row r="3" spans="2:4" ht="18" customHeight="1" x14ac:dyDescent="0.2">
      <c r="B3" s="57" t="s">
        <v>171</v>
      </c>
      <c r="C3" s="58"/>
      <c r="D3" s="58"/>
    </row>
    <row r="4" spans="2:4" ht="16.5" customHeight="1" x14ac:dyDescent="0.2">
      <c r="B4" s="2" t="s">
        <v>172</v>
      </c>
      <c r="C4" s="43" t="s">
        <v>173</v>
      </c>
      <c r="D4" s="44" t="s">
        <v>174</v>
      </c>
    </row>
    <row r="5" spans="2:4" ht="16.5" customHeight="1" x14ac:dyDescent="0.2">
      <c r="B5" s="2" t="s">
        <v>175</v>
      </c>
      <c r="C5" s="43" t="s">
        <v>176</v>
      </c>
      <c r="D5" s="44" t="s">
        <v>177</v>
      </c>
    </row>
    <row r="6" spans="2:4" ht="16.5" customHeight="1" x14ac:dyDescent="0.2">
      <c r="B6" s="2" t="s">
        <v>178</v>
      </c>
      <c r="C6" s="43" t="s">
        <v>179</v>
      </c>
      <c r="D6" s="44" t="s">
        <v>180</v>
      </c>
    </row>
    <row r="7" spans="2:4" ht="16.5" customHeight="1" x14ac:dyDescent="0.2">
      <c r="B7" s="2" t="s">
        <v>181</v>
      </c>
      <c r="C7" s="43" t="s">
        <v>182</v>
      </c>
      <c r="D7" s="44" t="s">
        <v>44</v>
      </c>
    </row>
    <row r="8" spans="2:4" ht="16.5" customHeight="1" x14ac:dyDescent="0.2">
      <c r="B8" s="2" t="s">
        <v>183</v>
      </c>
      <c r="C8" s="43" t="s">
        <v>184</v>
      </c>
      <c r="D8" s="44" t="s">
        <v>185</v>
      </c>
    </row>
    <row r="9" spans="2:4" ht="6" customHeight="1" x14ac:dyDescent="0.2"/>
    <row r="10" spans="2:4" ht="18" customHeight="1" x14ac:dyDescent="0.2">
      <c r="B10" s="57" t="s">
        <v>186</v>
      </c>
      <c r="C10" s="58"/>
      <c r="D10" s="58"/>
    </row>
    <row r="11" spans="2:4" ht="16.5" customHeight="1" x14ac:dyDescent="0.2">
      <c r="B11" s="2" t="s">
        <v>187</v>
      </c>
      <c r="C11" s="43" t="s">
        <v>188</v>
      </c>
      <c r="D11" s="44" t="s">
        <v>177</v>
      </c>
    </row>
    <row r="12" spans="2:4" ht="16.5" customHeight="1" x14ac:dyDescent="0.2">
      <c r="B12" s="2" t="s">
        <v>189</v>
      </c>
      <c r="C12" s="43" t="s">
        <v>190</v>
      </c>
      <c r="D12" s="44" t="s">
        <v>177</v>
      </c>
    </row>
    <row r="13" spans="2:4" ht="16.5" customHeight="1" x14ac:dyDescent="0.2">
      <c r="B13" s="2" t="s">
        <v>191</v>
      </c>
      <c r="C13" s="43" t="s">
        <v>192</v>
      </c>
      <c r="D13" s="44" t="s">
        <v>193</v>
      </c>
    </row>
    <row r="14" spans="2:4" ht="16.5" customHeight="1" x14ac:dyDescent="0.2">
      <c r="B14" s="2" t="s">
        <v>45</v>
      </c>
      <c r="C14" s="43" t="s">
        <v>194</v>
      </c>
      <c r="D14" s="44" t="s">
        <v>195</v>
      </c>
    </row>
    <row r="15" spans="2:4" ht="16.5" customHeight="1" x14ac:dyDescent="0.2">
      <c r="B15" s="2" t="s">
        <v>196</v>
      </c>
      <c r="C15" s="43" t="s">
        <v>197</v>
      </c>
      <c r="D15" s="44" t="s">
        <v>198</v>
      </c>
    </row>
    <row r="16" spans="2:4" ht="6" customHeight="1" x14ac:dyDescent="0.2"/>
    <row r="17" spans="2:4" ht="18" customHeight="1" x14ac:dyDescent="0.2">
      <c r="B17" s="57" t="s">
        <v>199</v>
      </c>
      <c r="C17" s="58"/>
      <c r="D17" s="58"/>
    </row>
    <row r="18" spans="2:4" ht="16.5" customHeight="1" x14ac:dyDescent="0.2">
      <c r="B18" s="2" t="s">
        <v>200</v>
      </c>
      <c r="C18" s="45" t="s">
        <v>201</v>
      </c>
      <c r="D18" s="46" t="s">
        <v>202</v>
      </c>
    </row>
    <row r="19" spans="2:4" ht="16.5" customHeight="1" x14ac:dyDescent="0.2">
      <c r="B19" s="2" t="s">
        <v>203</v>
      </c>
      <c r="C19" s="47" t="s">
        <v>204</v>
      </c>
      <c r="D19" s="46" t="s">
        <v>205</v>
      </c>
    </row>
    <row r="20" spans="2:4" ht="16.5" customHeight="1" x14ac:dyDescent="0.2">
      <c r="B20" s="2" t="s">
        <v>206</v>
      </c>
      <c r="C20" s="47" t="s">
        <v>204</v>
      </c>
      <c r="D20" s="46" t="s">
        <v>207</v>
      </c>
    </row>
    <row r="21" spans="2:4" ht="16.5" customHeight="1" x14ac:dyDescent="0.2">
      <c r="B21" s="2" t="s">
        <v>208</v>
      </c>
      <c r="C21" s="48" t="s">
        <v>209</v>
      </c>
      <c r="D21" s="46" t="s">
        <v>210</v>
      </c>
    </row>
    <row r="22" spans="2:4" ht="16.5" customHeight="1" x14ac:dyDescent="0.2">
      <c r="B22" s="2" t="s">
        <v>211</v>
      </c>
      <c r="C22" s="47" t="s">
        <v>204</v>
      </c>
      <c r="D22" s="46" t="s">
        <v>212</v>
      </c>
    </row>
    <row r="23" spans="2:4" ht="16.5" customHeight="1" x14ac:dyDescent="0.2">
      <c r="B23" s="2" t="s">
        <v>213</v>
      </c>
      <c r="C23" s="48" t="s">
        <v>209</v>
      </c>
      <c r="D23" s="46" t="s">
        <v>214</v>
      </c>
    </row>
    <row r="24" spans="2:4" ht="6" customHeight="1" x14ac:dyDescent="0.2"/>
    <row r="25" spans="2:4" ht="18" customHeight="1" x14ac:dyDescent="0.2">
      <c r="B25" s="57" t="s">
        <v>215</v>
      </c>
      <c r="C25" s="58"/>
      <c r="D25" s="58"/>
    </row>
    <row r="26" spans="2:4" ht="39.75" customHeight="1" x14ac:dyDescent="0.2">
      <c r="B26" s="61" t="s">
        <v>216</v>
      </c>
      <c r="C26" s="62"/>
      <c r="D26" s="62"/>
    </row>
  </sheetData>
  <mergeCells count="6">
    <mergeCell ref="B10:D10"/>
    <mergeCell ref="B3:D3"/>
    <mergeCell ref="B1:D1"/>
    <mergeCell ref="B17:D17"/>
    <mergeCell ref="B26:D26"/>
    <mergeCell ref="B25:D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Income Statement</vt:lpstr>
      <vt:lpstr>Balance Sheet</vt:lpstr>
      <vt:lpstr>Debt</vt:lpstr>
      <vt:lpstr>Cash Flow</vt:lpstr>
      <vt:lpstr>Ratios</vt:lpstr>
      <vt:lpstr>Industry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VatsalChavda</dc:creator>
  <cp:keywords/>
  <dc:description/>
  <cp:lastModifiedBy>Vatsal Maheshbhai Chavda</cp:lastModifiedBy>
  <cp:revision>0</cp:revision>
  <dcterms:created xsi:type="dcterms:W3CDTF">2026-03-06T22:14:51Z</dcterms:created>
  <dcterms:modified xsi:type="dcterms:W3CDTF">2026-03-07T22:31:26Z</dcterms:modified>
  <cp:category/>
  <dc:language>en-US</dc:language>
</cp:coreProperties>
</file>