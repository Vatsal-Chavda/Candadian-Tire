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vatsalchavda/Desktop/exam /"/>
    </mc:Choice>
  </mc:AlternateContent>
  <xr:revisionPtr revIDLastSave="0" documentId="8_{A82A5F1D-747E-BE43-A470-E7C4162D7EFD}" xr6:coauthVersionLast="47" xr6:coauthVersionMax="47" xr10:uidLastSave="{00000000-0000-0000-0000-000000000000}"/>
  <bookViews>
    <workbookView xWindow="0" yWindow="660" windowWidth="29400" windowHeight="18460" tabRatio="500" activeTab="6" xr2:uid="{00000000-000D-0000-FFFF-FFFF00000000}"/>
  </bookViews>
  <sheets>
    <sheet name="Cover" sheetId="1" r:id="rId1"/>
    <sheet name="NetWorthStatement" sheetId="2" r:id="rId2"/>
    <sheet name="CashFlowAnalysis" sheetId="3" r:id="rId3"/>
    <sheet name="RetirementProjections" sheetId="4" r:id="rId4"/>
    <sheet name="EducationFunding" sheetId="5" r:id="rId5"/>
    <sheet name="TaxOptimization" sheetId="6" r:id="rId6"/>
    <sheet name="EstatePlanSummary"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1" i="7" l="1"/>
  <c r="C20" i="7"/>
  <c r="C19" i="7"/>
  <c r="C14" i="7"/>
  <c r="C18" i="7" s="1"/>
  <c r="C22" i="7" s="1"/>
  <c r="C13" i="7"/>
  <c r="C11" i="7"/>
  <c r="C10" i="7"/>
  <c r="C6" i="7"/>
  <c r="C5" i="7"/>
  <c r="D15" i="6"/>
  <c r="D9" i="6"/>
  <c r="C9" i="6"/>
  <c r="C11" i="6" s="1"/>
  <c r="C28" i="5"/>
  <c r="E27" i="5"/>
  <c r="E26" i="5"/>
  <c r="D26" i="5"/>
  <c r="D28" i="5" s="1"/>
  <c r="C26" i="5"/>
  <c r="E25" i="5"/>
  <c r="F19" i="5"/>
  <c r="F21" i="5" s="1"/>
  <c r="C19" i="5"/>
  <c r="F17" i="5"/>
  <c r="E17" i="5"/>
  <c r="D17" i="5"/>
  <c r="F16" i="5"/>
  <c r="E16" i="5"/>
  <c r="D16" i="5"/>
  <c r="D19" i="5" s="1"/>
  <c r="D21" i="5" s="1"/>
  <c r="F15" i="5"/>
  <c r="E15" i="5"/>
  <c r="E19" i="5" s="1"/>
  <c r="E21" i="5" s="1"/>
  <c r="D15" i="5"/>
  <c r="E34" i="4"/>
  <c r="E33" i="4"/>
  <c r="E31" i="4"/>
  <c r="E30" i="4"/>
  <c r="E29" i="4"/>
  <c r="F22" i="4"/>
  <c r="E22" i="4"/>
  <c r="F21" i="4"/>
  <c r="F20" i="4"/>
  <c r="E20" i="4"/>
  <c r="F19" i="4"/>
  <c r="C28" i="4" s="1"/>
  <c r="E28" i="4" s="1"/>
  <c r="F18" i="4"/>
  <c r="C27" i="4" s="1"/>
  <c r="E18" i="4"/>
  <c r="C23" i="3"/>
  <c r="C27" i="3" s="1"/>
  <c r="C10" i="3"/>
  <c r="C29" i="2"/>
  <c r="C25" i="2"/>
  <c r="C17" i="2"/>
  <c r="C28" i="2" s="1"/>
  <c r="C30" i="2" s="1"/>
  <c r="C23" i="4" l="1"/>
  <c r="C32" i="4"/>
  <c r="E32" i="4" s="1"/>
  <c r="C33" i="3"/>
  <c r="C34" i="3" s="1"/>
  <c r="C35" i="3" s="1"/>
  <c r="E28" i="5"/>
  <c r="C35" i="4"/>
  <c r="E27" i="4"/>
  <c r="C29" i="5"/>
  <c r="C30" i="5" s="1"/>
  <c r="C21" i="5"/>
  <c r="C36" i="4" l="1"/>
  <c r="E36" i="4"/>
</calcChain>
</file>

<file path=xl/sharedStrings.xml><?xml version="1.0" encoding="utf-8"?>
<sst xmlns="http://schemas.openxmlformats.org/spreadsheetml/2006/main" count="373" uniqueCount="331">
  <si>
    <t>HNW FINANCIAL PLANNING REPORT — MITCHELL FAMILY</t>
  </si>
  <si>
    <t>Private Wealth Management  |  Confidential  |  Prepared by: Vatsal Chavda, BCom Finance</t>
  </si>
  <si>
    <t>CLIENT PROFILE</t>
  </si>
  <si>
    <t>Client Names</t>
  </si>
  <si>
    <t>James Mitchell (Age 52) &amp; Sarah Mitchell (Age 49)</t>
  </si>
  <si>
    <t>Occupation</t>
  </si>
  <si>
    <t>James: Orthopaedic Surgeon — St. Michael's Hospital  |  Sarah: Partner, Bay Street Law Firm</t>
  </si>
  <si>
    <t>Dependants</t>
  </si>
  <si>
    <t>Emma Mitchell (Age 19 — University)  |  Liam Mitchell (Age 16 — High School)</t>
  </si>
  <si>
    <t>Primary Residence</t>
  </si>
  <si>
    <t>Forest Hill, Toronto, Ontario</t>
  </si>
  <si>
    <t>Report Date</t>
  </si>
  <si>
    <t>April 2025</t>
  </si>
  <si>
    <t>Planning Horizon</t>
  </si>
  <si>
    <t>30 Years — James targets retirement at Age 60 (2033); Sarah at Age 62 (2038)</t>
  </si>
  <si>
    <t>Primary Objectives</t>
  </si>
  <si>
    <t>Retirement income planning, tax minimization, estate transfer, children's education funding</t>
  </si>
  <si>
    <t>Risk Profile</t>
  </si>
  <si>
    <t>Balanced-Growth  |  Risk Score: 6.5 / 10  |  Growth tilt with capital preservation focus</t>
  </si>
  <si>
    <t>WORKBOOK CONTENTS</t>
  </si>
  <si>
    <t>Net Worth Statement</t>
  </si>
  <si>
    <t>Complete asset and liability summary; net worth calculation with live SUM formulas</t>
  </si>
  <si>
    <t>Cash Flow Analysis</t>
  </si>
  <si>
    <t>Annual income, expenses, savings allocation, and surplus check formula</t>
  </si>
  <si>
    <t>Retirement Projections</t>
  </si>
  <si>
    <t>Compound growth projections for all portfolios; retirement income gap analysis</t>
  </si>
  <si>
    <t>Education Funding</t>
  </si>
  <si>
    <t>RESP growth projections for Emma and Liam; annual cost inflation with formulas</t>
  </si>
  <si>
    <t>Tax Optimization</t>
  </si>
  <si>
    <t>Marginal rate analysis, RRSP deduction benefit formulas, strategy recommendations</t>
  </si>
  <si>
    <t>Estate Plan Summary</t>
  </si>
  <si>
    <t>Estate inventory linked to Net Worth sheet; probate and tax-on-death calculations</t>
  </si>
  <si>
    <t>DISCLAIMER</t>
  </si>
  <si>
    <t>This report is a simulated financial planning case study prepared for portfolio demonstration purposes only. All client names, financial figures, and details are fictional. This document does not constitute financial, tax, legal, or investment advice.</t>
  </si>
  <si>
    <t>NET WORTH STATEMENT — MITCHELL FAMILY</t>
  </si>
  <si>
    <t>ASSETS</t>
  </si>
  <si>
    <t>Asset Description</t>
  </si>
  <si>
    <t>Market Value (CAD)</t>
  </si>
  <si>
    <t>Notes</t>
  </si>
  <si>
    <t>Principal Residence — Forest Hill, Toronto</t>
  </si>
  <si>
    <t>Estimated market value; mortgage below</t>
  </si>
  <si>
    <t>Vacation Property — Muskoka, ON</t>
  </si>
  <si>
    <t>Owned free and clear</t>
  </si>
  <si>
    <t>RRSP — James Mitchell</t>
  </si>
  <si>
    <t>Balanced-growth portfolio</t>
  </si>
  <si>
    <t>RRSP — Sarah Mitchell</t>
  </si>
  <si>
    <t>TFSA — James Mitchell</t>
  </si>
  <si>
    <t>Fully maximized; equity-focused</t>
  </si>
  <si>
    <t>TFSA — Sarah Mitchell</t>
  </si>
  <si>
    <t>Non-Registered Investment Portfolio (Joint)</t>
  </si>
  <si>
    <t>Balanced-growth allocation</t>
  </si>
  <si>
    <t>RESP — Emma &amp; Liam (Combined)</t>
  </si>
  <si>
    <t>Growth-oriented</t>
  </si>
  <si>
    <t>DB Pension — James (Commuted Value Estimate)</t>
  </si>
  <si>
    <t>Hospital pension plan</t>
  </si>
  <si>
    <t>Corporate Holdings — Sarah's Law Corp</t>
  </si>
  <si>
    <t>Retained earnings &amp; passive investments</t>
  </si>
  <si>
    <t>Cash &amp; Short-Term Savings</t>
  </si>
  <si>
    <t>Combined chequing and HISA</t>
  </si>
  <si>
    <t>Personal Property (Vehicles, Art, Jewelry)</t>
  </si>
  <si>
    <t>Estimated replacement value</t>
  </si>
  <si>
    <t>TOTAL ASSETS</t>
  </si>
  <si>
    <t>LIABILITIES</t>
  </si>
  <si>
    <t>Liability Description</t>
  </si>
  <si>
    <t>Outstanding Balance (CAD)</t>
  </si>
  <si>
    <t>Principal Residence Mortgage</t>
  </si>
  <si>
    <t>20 years remaining; 4.89% fixed</t>
  </si>
  <si>
    <t>Home Equity Line of Credit (HELOC)</t>
  </si>
  <si>
    <t>Investment purpose; deductible interest</t>
  </si>
  <si>
    <t>Vehicle Loans — Combined</t>
  </si>
  <si>
    <t>Two vehicles outstanding</t>
  </si>
  <si>
    <t>Credit Cards / Short-Term Payables</t>
  </si>
  <si>
    <t>Paid in full monthly</t>
  </si>
  <si>
    <t>TOTAL LIABILITIES</t>
  </si>
  <si>
    <t>NET WORTH SUMMARY</t>
  </si>
  <si>
    <t>Total Assets</t>
  </si>
  <si>
    <t>Total Liabilities</t>
  </si>
  <si>
    <t>NET WORTH — Mitchell Family</t>
  </si>
  <si>
    <t>ANNUAL CASH FLOW ANALYSIS — MITCHELL FAMILY</t>
  </si>
  <si>
    <t>GROSS ANNUAL INCOME</t>
  </si>
  <si>
    <t>Income Source</t>
  </si>
  <si>
    <t>Annual Amount (CAD)</t>
  </si>
  <si>
    <t>James — Net Employment Income (after tax)</t>
  </si>
  <si>
    <t>T4; combined federal + Ontario marginal ~53.53%</t>
  </si>
  <si>
    <t>Sarah — Salary Draw from Law Corp</t>
  </si>
  <si>
    <t>Optimal salary extraction from corporation</t>
  </si>
  <si>
    <t>Sarah — Eligible Dividend from Law Corp</t>
  </si>
  <si>
    <t>Retained earnings distribution</t>
  </si>
  <si>
    <t>Non-Registered Portfolio — Dividends &amp; Interest</t>
  </si>
  <si>
    <t>Mixed income type; partial dividend treatment</t>
  </si>
  <si>
    <t>Other Income</t>
  </si>
  <si>
    <t>No additional income sources currently</t>
  </si>
  <si>
    <t>TOTAL NET INCOME</t>
  </si>
  <si>
    <t>ANNUAL LIVING &amp; FIXED EXPENSES</t>
  </si>
  <si>
    <t>Expense Category</t>
  </si>
  <si>
    <t>Mortgage — Principal + Interest</t>
  </si>
  <si>
    <t>$3,500/month × 12</t>
  </si>
  <si>
    <t>Property Taxes — Primary Residence + Muskoka</t>
  </si>
  <si>
    <t>Combined annual assessment</t>
  </si>
  <si>
    <t>Household &amp; Living Expenses</t>
  </si>
  <si>
    <t>Food, utilities, maintenance, subscriptions</t>
  </si>
  <si>
    <t>Children's Education &amp; Activities</t>
  </si>
  <si>
    <t>Emma university + Liam tuition &amp; activities</t>
  </si>
  <si>
    <t>Travel &amp; Lifestyle</t>
  </si>
  <si>
    <t>Annual family travel budget</t>
  </si>
  <si>
    <t>Insurance Premiums — All Policies</t>
  </si>
  <si>
    <t>Life, disability, home, auto combined</t>
  </si>
  <si>
    <t>Vehicle Expenses</t>
  </si>
  <si>
    <t>Fuel, maintenance, insurance</t>
  </si>
  <si>
    <t>Charitable Donations</t>
  </si>
  <si>
    <t>Eligible for donation tax credit</t>
  </si>
  <si>
    <t>Personal &amp; Discretionary Spending</t>
  </si>
  <si>
    <t>Clothing, dining, entertainment</t>
  </si>
  <si>
    <t>TOTAL ANNUAL EXPENSES</t>
  </si>
  <si>
    <t>ANNUAL SAVINGS &amp; SURPLUS ALLOCATION</t>
  </si>
  <si>
    <t>Allocation</t>
  </si>
  <si>
    <t>Annual Cash Flow Surplus</t>
  </si>
  <si>
    <t>Available for savings and investments</t>
  </si>
  <si>
    <t>RRSP Contributions — James</t>
  </si>
  <si>
    <t>Maximize annual contribution room</t>
  </si>
  <si>
    <t>RRSP Contributions — Sarah</t>
  </si>
  <si>
    <t>TFSA Contributions — James &amp; Sarah (Combined)</t>
  </si>
  <si>
    <t>$7,000 each; fully maximized</t>
  </si>
  <si>
    <t>RESP Top-Up — Emma &amp; Liam</t>
  </si>
  <si>
    <t>Annual top-up; CESG eligible</t>
  </si>
  <si>
    <t>Corporate Retained Earnings — Sarah's Law Corp</t>
  </si>
  <si>
    <t>Tax deferral at corporate rate</t>
  </si>
  <si>
    <t>Remaining Surplus — Non-Registered Investment</t>
  </si>
  <si>
    <t>Invested in non-registered portfolio</t>
  </si>
  <si>
    <t>TOTAL SAVINGS &amp; INVESTMENTS</t>
  </si>
  <si>
    <t>VARIANCE CHECK (Surplus minus Allocated)</t>
  </si>
  <si>
    <t>Should equal $0 if fully allocated</t>
  </si>
  <si>
    <t>RETIREMENT INCOME PROJECTIONS — MITCHELL FAMILY</t>
  </si>
  <si>
    <t>KEY PLANNING ASSUMPTIONS</t>
  </si>
  <si>
    <t>Assumption</t>
  </si>
  <si>
    <t>Value</t>
  </si>
  <si>
    <t>Input Cell</t>
  </si>
  <si>
    <t>Current Age — James</t>
  </si>
  <si>
    <t>B5</t>
  </si>
  <si>
    <t>Input: change to update all projections</t>
  </si>
  <si>
    <t>Current Age — Sarah</t>
  </si>
  <si>
    <t>B6</t>
  </si>
  <si>
    <t>Target Retirement Age — James</t>
  </si>
  <si>
    <t>B7</t>
  </si>
  <si>
    <t>8 years to retirement</t>
  </si>
  <si>
    <t>Target Retirement Age — Sarah</t>
  </si>
  <si>
    <t>B8</t>
  </si>
  <si>
    <t>13 years to retirement</t>
  </si>
  <si>
    <t>Years to James Retirement</t>
  </si>
  <si>
    <t>B9</t>
  </si>
  <si>
    <t>B7-B5 = 60-52</t>
  </si>
  <si>
    <t>Pre-Retirement Portfolio Return (% p.a.)</t>
  </si>
  <si>
    <t>B10</t>
  </si>
  <si>
    <t>6.5% blended gross return</t>
  </si>
  <si>
    <t>Post-Retirement Portfolio Return (% p.a.)</t>
  </si>
  <si>
    <t>B11</t>
  </si>
  <si>
    <t>4.5% conservative return</t>
  </si>
  <si>
    <t>Inflation Rate (% p.a.)</t>
  </si>
  <si>
    <t>2.5% Bank of Canada target</t>
  </si>
  <si>
    <t>Target Annual Retirement Income (today $)</t>
  </si>
  <si>
    <t>Gross household income target</t>
  </si>
  <si>
    <t>Target Retirement Income (inflation-adjusted)</t>
  </si>
  <si>
    <t>350000*(1.025)^8 = inflation-adjusted target</t>
  </si>
  <si>
    <t>PROJECTED PORTFOLIO VALUES AT RETIREMENT</t>
  </si>
  <si>
    <t>Portfolio / Account</t>
  </si>
  <si>
    <t>Current Value</t>
  </si>
  <si>
    <t>Growth Rate</t>
  </si>
  <si>
    <t>Years to Ret.</t>
  </si>
  <si>
    <t>Projected Value at Retirement</t>
  </si>
  <si>
    <t>RRSP — James</t>
  </si>
  <si>
    <t>0.065</t>
  </si>
  <si>
    <t>RRSP — Sarah</t>
  </si>
  <si>
    <t>13</t>
  </si>
  <si>
    <t>TFSA — James (+ $7K/yr contributions)</t>
  </si>
  <si>
    <t>TFSA — Sarah (+ $7K/yr contributions)</t>
  </si>
  <si>
    <t>Non-Registered Portfolio (+ $128K/yr)</t>
  </si>
  <si>
    <t>TOTAL PROJECTED PORTFOLIO AT RETIREMENT</t>
  </si>
  <si>
    <t>ANNUAL RETIREMENT INCOME SOURCES</t>
  </si>
  <si>
    <t>Annual Income</t>
  </si>
  <si>
    <t>Tax Status</t>
  </si>
  <si>
    <t>% of Target</t>
  </si>
  <si>
    <t>RRIF Drawdown — James (4% of RRIF balance)</t>
  </si>
  <si>
    <t>Fully Taxable</t>
  </si>
  <si>
    <t>Minimum RRIF drawdown rate at 71</t>
  </si>
  <si>
    <t>RRIF Drawdown — Sarah (4% of RRIF balance)</t>
  </si>
  <si>
    <t>DB Pension — James (Indexed)</t>
  </si>
  <si>
    <t>$9,167/month; inflation-indexed</t>
  </si>
  <si>
    <t>CPP — James &amp; Sarah (Combined, Age 65)</t>
  </si>
  <si>
    <t>Partially Taxable</t>
  </si>
  <si>
    <t>$1,306 + $1,100 × 12</t>
  </si>
  <si>
    <t>OAS — James &amp; Sarah (Combined, Age 65)</t>
  </si>
  <si>
    <t>$698 × 2 × 12</t>
  </si>
  <si>
    <t>Non-Registered Portfolio Income (3.5% yield)</t>
  </si>
  <si>
    <t>Dividends/Cap Gains</t>
  </si>
  <si>
    <t>Tax-preferred income</t>
  </si>
  <si>
    <t>TFSA Withdrawals (Supplemental)</t>
  </si>
  <si>
    <t>Tax-Free</t>
  </si>
  <si>
    <t>Flexible; no clawback impact</t>
  </si>
  <si>
    <t>Corporate Dividend Draw — Sarah's Law Corp</t>
  </si>
  <si>
    <t>Eligible Dividends</t>
  </si>
  <si>
    <t>Post-retirement distribution</t>
  </si>
  <si>
    <t>TOTAL PROJECTED RETIREMENT INCOME</t>
  </si>
  <si>
    <t>INCOME VS TARGET (Surplus / Gap)</t>
  </si>
  <si>
    <t>Positive = surplus; Negative = shortfall</t>
  </si>
  <si>
    <t>RESP &amp; EDUCATION FUNDING PLAN — EMMA &amp; LIAM MITCHELL</t>
  </si>
  <si>
    <t>ASSUMPTIONS</t>
  </si>
  <si>
    <t>Parameter</t>
  </si>
  <si>
    <t>Annual Tuition Inflation Rate</t>
  </si>
  <si>
    <t>5% per year</t>
  </si>
  <si>
    <t>Emma — Current University Year</t>
  </si>
  <si>
    <t>Starting Year 1 (2025)</t>
  </si>
  <si>
    <t>Liam — Years Until University</t>
  </si>
  <si>
    <t>Starts 2027</t>
  </si>
  <si>
    <t>RESP Annual Return</t>
  </si>
  <si>
    <t>5.5% growth assumed</t>
  </si>
  <si>
    <t>Current RESP Balance — Emma</t>
  </si>
  <si>
    <t>Emma's allocated share</t>
  </si>
  <si>
    <t>Current RESP Balance — Liam</t>
  </si>
  <si>
    <t>Liam's allocated share</t>
  </si>
  <si>
    <t>Annual CESG (20% on $2,500 each)</t>
  </si>
  <si>
    <t>Combined government grant</t>
  </si>
  <si>
    <t>EMMA — 4-YEAR UNIVERSITY COST PROJECTION</t>
  </si>
  <si>
    <t>Cost Item</t>
  </si>
  <si>
    <t>Year 1</t>
  </si>
  <si>
    <t>Year 2</t>
  </si>
  <si>
    <t>Year 3</t>
  </si>
  <si>
    <t>Year 4</t>
  </si>
  <si>
    <t>Tuition &amp; Fees</t>
  </si>
  <si>
    <t>Living Expenses</t>
  </si>
  <si>
    <t>Books &amp; Supplies</t>
  </si>
  <si>
    <t>Total Annual Cost</t>
  </si>
  <si>
    <t>Total Cost per Year</t>
  </si>
  <si>
    <t>RESP Withdrawal Available</t>
  </si>
  <si>
    <t>Parental Contribution Required</t>
  </si>
  <si>
    <t>RESP GROWTH PROJECTION</t>
  </si>
  <si>
    <t>RESP Item</t>
  </si>
  <si>
    <t>Emma</t>
  </si>
  <si>
    <t>Liam</t>
  </si>
  <si>
    <t>Combined</t>
  </si>
  <si>
    <t>Current RESP Balance</t>
  </si>
  <si>
    <t>Input values above</t>
  </si>
  <si>
    <t>RESP Value at Start of Studies</t>
  </si>
  <si>
    <t>FV with CESG reinvested</t>
  </si>
  <si>
    <t>Total CESG (Estimated — 4 years)</t>
  </si>
  <si>
    <t>$500 each per year</t>
  </si>
  <si>
    <t>Projected Total RESP at Completion</t>
  </si>
  <si>
    <t>Total University Cost (4 years)</t>
  </si>
  <si>
    <t>Emma only</t>
  </si>
  <si>
    <t>Total Parental Contribution Required</t>
  </si>
  <si>
    <t>Emma only; Liam calculated separately</t>
  </si>
  <si>
    <t>TAX OPTIMIZATION ANALYSIS — MITCHELL FAMILY</t>
  </si>
  <si>
    <t>MARGINAL RATE INPUTS (ONTARIO 2025)</t>
  </si>
  <si>
    <t>Tax Input</t>
  </si>
  <si>
    <t>James</t>
  </si>
  <si>
    <t>Sarah</t>
  </si>
  <si>
    <t>Gross Taxable Income</t>
  </si>
  <si>
    <t>Federal + Ontario Combined Marginal Rate</t>
  </si>
  <si>
    <t>Estimated Effective Tax Rate</t>
  </si>
  <si>
    <t>RRSP Contribution</t>
  </si>
  <si>
    <t>RRSP Marginal Tax Deduction Benefit</t>
  </si>
  <si>
    <t>TFSA Annual Contribution</t>
  </si>
  <si>
    <t>Combined Household Tax Saving — RRSP</t>
  </si>
  <si>
    <t>TAX STRATEGY RECOMMENDATIONS</t>
  </si>
  <si>
    <t>Strategy</t>
  </si>
  <si>
    <t>Priority</t>
  </si>
  <si>
    <t>Action Required</t>
  </si>
  <si>
    <t>Maximize RRSP — James &amp; Sarah (Annual)</t>
  </si>
  <si>
    <t>HIGH</t>
  </si>
  <si>
    <t>Spousal RRSP — James contributes to Sarah's</t>
  </si>
  <si>
    <t>Equalizes retirement income; reduces combined marginal rate at drawdown</t>
  </si>
  <si>
    <t>TFSA Maximization — Both Parties</t>
  </si>
  <si>
    <t>$7,000 each annually; invest in highest-growth assets; tax-free compounding</t>
  </si>
  <si>
    <t>Income Splitting — Sarah's Corporation</t>
  </si>
  <si>
    <t>Pay salary to James for admin services rendered to law corp; must be reasonable</t>
  </si>
  <si>
    <t>Corporate Passive Investment Management</t>
  </si>
  <si>
    <t>Retain earnings below SBD limit ($500K); invest at corporate rate for deferral advantage</t>
  </si>
  <si>
    <t>Capital Gains Harvesting — Non-Registered</t>
  </si>
  <si>
    <t>MEDIUM</t>
  </si>
  <si>
    <t>Annual Q4 review; harvest losses to offset gains; maintain overall allocation</t>
  </si>
  <si>
    <t>Charitable Donation Bundling</t>
  </si>
  <si>
    <t>Bundle 2-3 years of donations in single tax year to maximize federal+Ontario tax credit</t>
  </si>
  <si>
    <t>ESTATE PLAN SUMMARY — MITCHELL FAMILY</t>
  </si>
  <si>
    <t>ESTATE ASSET INVENTORY</t>
  </si>
  <si>
    <t>Asset / Consideration</t>
  </si>
  <si>
    <t>Estimated Value</t>
  </si>
  <si>
    <t>Disposition / Notes</t>
  </si>
  <si>
    <t>Principal Residence (Net of Mortgage)</t>
  </si>
  <si>
    <t>Primary beneficiary: surviving spouse</t>
  </si>
  <si>
    <t>Vacation Property — Muskoka</t>
  </si>
  <si>
    <t>Designated to Emma and Liam equally</t>
  </si>
  <si>
    <t>RRSP/RRIF — James (Taxable on Death — Full Value)</t>
  </si>
  <si>
    <t>Spousal rollover; deferred on first death</t>
  </si>
  <si>
    <t>RRSP/RRIF — Sarah (Taxable on Death — Full Value)</t>
  </si>
  <si>
    <t>TFSA — James &amp; Sarah (Tax-Free to Estate)</t>
  </si>
  <si>
    <t>Passes tax-free; successor holder designation</t>
  </si>
  <si>
    <t>Non-Registered Portfolio</t>
  </si>
  <si>
    <t>50% deemed disposition on death for tax</t>
  </si>
  <si>
    <t>Estate freeze or share transfer recommended</t>
  </si>
  <si>
    <t>Life Insurance Death Benefit</t>
  </si>
  <si>
    <t>Tax-free to named beneficiary</t>
  </si>
  <si>
    <t>Personal Property &amp; Other</t>
  </si>
  <si>
    <t>Distributed per Will</t>
  </si>
  <si>
    <t>ESTIMATED GROSS ESTATE VALUE</t>
  </si>
  <si>
    <t>ESTIMATED PROBATE &amp; TAX ON DEATH (Ontario)</t>
  </si>
  <si>
    <t>Item</t>
  </si>
  <si>
    <t>Estimated Amount</t>
  </si>
  <si>
    <t>Ontario Probate Fee (Estate Administration Tax)</t>
  </si>
  <si>
    <t>1.5% on estate value over $50,000</t>
  </si>
  <si>
    <t>Deemed Disposition — RRSP/RRIF (on 2nd death, ~53.53% marginal)</t>
  </si>
  <si>
    <t>Deferred until second death; full tax owing</t>
  </si>
  <si>
    <t>Deemed Disposition — Non-Registered Portfolio (50% inclusion)</t>
  </si>
  <si>
    <t>Capital gains triggered on death</t>
  </si>
  <si>
    <t>Life Insurance — Tax-Free Benefit</t>
  </si>
  <si>
    <t>Reduces net tax burden on estate</t>
  </si>
  <si>
    <t>ESTIMATED NET ESTATE TAX EXPOSURE</t>
  </si>
  <si>
    <t>Before planning strategies</t>
  </si>
  <si>
    <t>ESTATE PLANNING ACTION ITEMS</t>
  </si>
  <si>
    <t>Recommendation</t>
  </si>
  <si>
    <t>Update Wills — Both James and Sarah</t>
  </si>
  <si>
    <t>URGENT</t>
  </si>
  <si>
    <t>Engage estate lawyer; mirror Wills with secondary beneficiaries as Emma and Liam</t>
  </si>
  <si>
    <t>Powers of Attorney — Personal Care &amp; Property</t>
  </si>
  <si>
    <t>Execute POAs for both parties; designate backup attorney</t>
  </si>
  <si>
    <t>RRSP/RRIF Beneficiary Designations</t>
  </si>
  <si>
    <t>Confirm spouse as direct beneficiary; avoid estate designation to bypass probate</t>
  </si>
  <si>
    <t>Life Insurance — Annual Coverage Review</t>
  </si>
  <si>
    <t>Confirm $2M coverage aligns with income replacement, mortgage, and equalization goals</t>
  </si>
  <si>
    <t>Corporate Share Structure — Estate Freeze</t>
  </si>
  <si>
    <t>Engage corporate counsel for estate freeze on Sarah's law corp to facilitate future transfer</t>
  </si>
  <si>
    <t>Beneficiary Designation Annual Review</t>
  </si>
  <si>
    <t>Review all RRSP, TFSA, insurance, and corporate designations each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</si>
</sst>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4" x14ac:knownFonts="1">
    <font>
      <sz val="11"/>
      <color theme="1"/>
      <name val="Calibri"/>
      <family val="2"/>
      <charset val="1"/>
    </font>
    <font>
      <b/>
      <sz val="16"/>
      <color rgb="FFFFFFFF"/>
      <name val="Arial"/>
      <family val="2"/>
    </font>
    <font>
      <sz val="10"/>
      <color rgb="FFFFFFFF"/>
      <name val="Arial"/>
      <family val="2"/>
    </font>
    <font>
      <b/>
      <sz val="10"/>
      <color rgb="FFFFFFFF"/>
      <name val="Arial"/>
      <family val="2"/>
    </font>
    <font>
      <b/>
      <sz val="10"/>
      <color rgb="FF1A1A1A"/>
      <name val="Arial"/>
      <family val="2"/>
    </font>
    <font>
      <sz val="10"/>
      <color rgb="FF1A1A1A"/>
      <name val="Arial"/>
      <family val="2"/>
    </font>
    <font>
      <i/>
      <sz val="9"/>
      <color rgb="FF666666"/>
      <name val="Arial"/>
      <family val="2"/>
    </font>
    <font>
      <b/>
      <sz val="13"/>
      <color rgb="FFFFFFFF"/>
      <name val="Arial"/>
      <family val="2"/>
    </font>
    <font>
      <b/>
      <sz val="9"/>
      <color rgb="FF1A1A1A"/>
      <name val="Arial"/>
      <family val="2"/>
    </font>
    <font>
      <b/>
      <sz val="10"/>
      <color rgb="FF375623"/>
      <name val="Arial"/>
      <family val="2"/>
    </font>
    <font>
      <b/>
      <sz val="10"/>
      <color rgb="FF7F6000"/>
      <name val="Arial"/>
      <family val="2"/>
    </font>
    <font>
      <sz val="10"/>
      <color rgb="FF375623"/>
      <name val="Arial"/>
      <family val="2"/>
    </font>
    <font>
      <sz val="10"/>
      <color rgb="FF7F6000"/>
      <name val="Arial"/>
      <family val="2"/>
    </font>
    <font>
      <b/>
      <sz val="10"/>
      <color rgb="FFC00000"/>
      <name val="Arial"/>
      <family val="2"/>
    </font>
  </fonts>
  <fills count="11">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DEEAF1"/>
        <bgColor rgb="FFE2EFDA"/>
      </patternFill>
    </fill>
    <fill>
      <patternFill patternType="solid">
        <fgColor rgb="FFFFFFFF"/>
        <bgColor rgb="FFF5F5F5"/>
      </patternFill>
    </fill>
    <fill>
      <patternFill patternType="solid">
        <fgColor rgb="FFBDD7EE"/>
        <bgColor rgb="FF99CCFF"/>
      </patternFill>
    </fill>
    <fill>
      <patternFill patternType="solid">
        <fgColor rgb="FFE2EFDA"/>
        <bgColor rgb="FFDEEAF1"/>
      </patternFill>
    </fill>
    <fill>
      <patternFill patternType="solid">
        <fgColor rgb="FFFFF2CC"/>
        <bgColor rgb="FFF5F5F5"/>
      </patternFill>
    </fill>
    <fill>
      <patternFill patternType="solid">
        <fgColor rgb="FFF5F5F5"/>
        <bgColor rgb="FFFFFFFF"/>
      </patternFill>
    </fill>
    <fill>
      <patternFill patternType="solid">
        <fgColor rgb="FFFFE0E0"/>
        <bgColor rgb="FFFFF2CC"/>
      </patternFill>
    </fill>
  </fills>
  <borders count="6">
    <border>
      <left/>
      <right/>
      <top/>
      <bottom/>
      <diagonal/>
    </border>
    <border>
      <left style="thin">
        <color rgb="FF2E75B6"/>
      </left>
      <right/>
      <top style="thin">
        <color rgb="FF2E75B6"/>
      </top>
      <bottom style="thin">
        <color rgb="FF2E75B6"/>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style="thin">
        <color rgb="FF1F4E79"/>
      </left>
      <right/>
      <top style="thin">
        <color rgb="FF1F4E79"/>
      </top>
      <bottom style="thin">
        <color rgb="FF1F4E79"/>
      </bottom>
      <diagonal/>
    </border>
    <border>
      <left style="thin">
        <color rgb="FF1F4E79"/>
      </left>
      <right style="thin">
        <color rgb="FF1F4E79"/>
      </right>
      <top style="thin">
        <color rgb="FF1F4E79"/>
      </top>
      <bottom style="thin">
        <color rgb="FF1F4E79"/>
      </bottom>
      <diagonal/>
    </border>
  </borders>
  <cellStyleXfs count="1">
    <xf numFmtId="0" fontId="0" fillId="0" borderId="0"/>
  </cellStyleXfs>
  <cellXfs count="56">
    <xf numFmtId="0" fontId="0" fillId="0" borderId="0" xfId="0"/>
    <xf numFmtId="0" fontId="5" fillId="4" borderId="2" xfId="0" applyFont="1" applyFill="1" applyBorder="1" applyAlignment="1">
      <alignment horizontal="left" vertical="center" indent="1"/>
    </xf>
    <xf numFmtId="0" fontId="5" fillId="5" borderId="2" xfId="0" applyFont="1" applyFill="1" applyBorder="1" applyAlignment="1">
      <alignment horizontal="left" vertical="center" indent="1"/>
    </xf>
    <xf numFmtId="0" fontId="7" fillId="2" borderId="4" xfId="0" applyFont="1" applyFill="1" applyBorder="1" applyAlignment="1">
      <alignment horizontal="left" vertical="center" indent="1"/>
    </xf>
    <xf numFmtId="0" fontId="6" fillId="5" borderId="3" xfId="0" applyFont="1" applyFill="1" applyBorder="1" applyAlignment="1">
      <alignment horizontal="left" vertical="center" wrapText="1" indent="1"/>
    </xf>
    <xf numFmtId="0" fontId="5" fillId="5" borderId="3" xfId="0" applyFont="1" applyFill="1" applyBorder="1" applyAlignment="1">
      <alignment horizontal="left" vertical="center" indent="1"/>
    </xf>
    <xf numFmtId="0" fontId="5" fillId="4" borderId="3" xfId="0" applyFont="1" applyFill="1" applyBorder="1" applyAlignment="1">
      <alignment horizontal="left" vertical="center" indent="1"/>
    </xf>
    <xf numFmtId="0" fontId="5" fillId="5" borderId="3" xfId="0" applyFont="1" applyFill="1" applyBorder="1" applyAlignment="1">
      <alignment horizontal="left" vertical="center" wrapText="1" indent="1"/>
    </xf>
    <xf numFmtId="0" fontId="5" fillId="4" borderId="3" xfId="0" applyFont="1" applyFill="1" applyBorder="1" applyAlignment="1">
      <alignment horizontal="left" vertical="center" wrapText="1" indent="1"/>
    </xf>
    <xf numFmtId="0" fontId="3" fillId="3" borderId="1" xfId="0" applyFont="1" applyFill="1" applyBorder="1" applyAlignment="1">
      <alignment horizontal="left" vertical="center" indent="1"/>
    </xf>
    <xf numFmtId="0" fontId="2" fillId="3" borderId="0" xfId="0" applyFont="1" applyFill="1" applyAlignment="1">
      <alignment horizontal="center" vertical="center"/>
    </xf>
    <xf numFmtId="0" fontId="1" fillId="2" borderId="0" xfId="0" applyFont="1" applyFill="1" applyAlignment="1">
      <alignment horizontal="center" vertical="center"/>
    </xf>
    <xf numFmtId="0" fontId="4" fillId="4" borderId="2" xfId="0" applyFont="1" applyFill="1" applyBorder="1" applyAlignment="1">
      <alignment horizontal="left" vertical="center" indent="1"/>
    </xf>
    <xf numFmtId="0" fontId="4" fillId="5" borderId="2" xfId="0" applyFont="1" applyFill="1" applyBorder="1" applyAlignment="1">
      <alignment horizontal="left" vertical="center" indent="1"/>
    </xf>
    <xf numFmtId="0" fontId="8" fillId="6" borderId="2" xfId="0" applyFont="1" applyFill="1" applyBorder="1" applyAlignment="1">
      <alignment horizontal="center" vertical="center" wrapText="1"/>
    </xf>
    <xf numFmtId="0" fontId="5" fillId="5" borderId="2" xfId="0" applyFont="1" applyFill="1" applyBorder="1" applyAlignment="1">
      <alignment horizontal="left" vertical="center" indent="1"/>
    </xf>
    <xf numFmtId="164" fontId="5" fillId="5" borderId="2" xfId="0" applyNumberFormat="1" applyFont="1" applyFill="1" applyBorder="1" applyAlignment="1">
      <alignment horizontal="right" vertical="center"/>
    </xf>
    <xf numFmtId="0" fontId="5" fillId="5" borderId="2" xfId="0" applyFont="1" applyFill="1" applyBorder="1" applyAlignment="1">
      <alignment horizontal="left" vertical="center" wrapText="1" indent="1"/>
    </xf>
    <xf numFmtId="0" fontId="5" fillId="4" borderId="2" xfId="0" applyFont="1" applyFill="1" applyBorder="1" applyAlignment="1">
      <alignment horizontal="left" vertical="center" indent="1"/>
    </xf>
    <xf numFmtId="164" fontId="5" fillId="4" borderId="2" xfId="0" applyNumberFormat="1" applyFont="1" applyFill="1" applyBorder="1" applyAlignment="1">
      <alignment horizontal="right" vertical="center"/>
    </xf>
    <xf numFmtId="0" fontId="5" fillId="4" borderId="2" xfId="0" applyFont="1" applyFill="1" applyBorder="1" applyAlignment="1">
      <alignment horizontal="left" vertical="center" wrapText="1" indent="1"/>
    </xf>
    <xf numFmtId="0" fontId="3" fillId="2" borderId="5" xfId="0" applyFont="1" applyFill="1" applyBorder="1" applyAlignment="1">
      <alignment horizontal="left" vertical="center" indent="1"/>
    </xf>
    <xf numFmtId="164" fontId="3" fillId="2" borderId="5" xfId="0" applyNumberFormat="1" applyFont="1" applyFill="1" applyBorder="1" applyAlignment="1">
      <alignment horizontal="right" vertical="center"/>
    </xf>
    <xf numFmtId="0" fontId="0" fillId="2" borderId="5" xfId="0" applyFill="1" applyBorder="1"/>
    <xf numFmtId="0" fontId="9" fillId="7" borderId="2" xfId="0" applyFont="1" applyFill="1" applyBorder="1" applyAlignment="1">
      <alignment horizontal="left" vertical="center" indent="1"/>
    </xf>
    <xf numFmtId="164" fontId="9" fillId="7" borderId="2" xfId="0" applyNumberFormat="1" applyFont="1" applyFill="1" applyBorder="1" applyAlignment="1">
      <alignment horizontal="right" vertical="center"/>
    </xf>
    <xf numFmtId="0" fontId="0" fillId="7" borderId="2" xfId="0" applyFill="1" applyBorder="1"/>
    <xf numFmtId="0" fontId="10" fillId="8" borderId="2" xfId="0" applyFont="1" applyFill="1" applyBorder="1" applyAlignment="1">
      <alignment horizontal="left" vertical="center" indent="1"/>
    </xf>
    <xf numFmtId="164" fontId="10" fillId="8" borderId="2" xfId="0" applyNumberFormat="1" applyFont="1" applyFill="1" applyBorder="1" applyAlignment="1">
      <alignment horizontal="right" vertical="center"/>
    </xf>
    <xf numFmtId="0" fontId="0" fillId="8" borderId="2" xfId="0" applyFill="1" applyBorder="1"/>
    <xf numFmtId="0" fontId="3" fillId="2" borderId="2" xfId="0" applyFont="1" applyFill="1" applyBorder="1" applyAlignment="1">
      <alignment horizontal="left" vertical="center" indent="1"/>
    </xf>
    <xf numFmtId="164" fontId="3" fillId="2" borderId="2" xfId="0" applyNumberFormat="1" applyFont="1" applyFill="1" applyBorder="1" applyAlignment="1">
      <alignment horizontal="right" vertical="center"/>
    </xf>
    <xf numFmtId="0" fontId="0" fillId="2" borderId="2" xfId="0" applyFill="1" applyBorder="1"/>
    <xf numFmtId="0" fontId="11" fillId="7" borderId="2" xfId="0" applyFont="1" applyFill="1" applyBorder="1" applyAlignment="1">
      <alignment horizontal="left" vertical="center" indent="1"/>
    </xf>
    <xf numFmtId="0" fontId="4" fillId="9" borderId="2" xfId="0" applyFont="1" applyFill="1" applyBorder="1" applyAlignment="1">
      <alignment horizontal="left" vertical="center" indent="1"/>
    </xf>
    <xf numFmtId="164" fontId="4" fillId="9" borderId="2" xfId="0" applyNumberFormat="1" applyFont="1" applyFill="1" applyBorder="1" applyAlignment="1">
      <alignment horizontal="right" vertical="center"/>
    </xf>
    <xf numFmtId="0" fontId="5" fillId="9" borderId="2" xfId="0" applyFont="1" applyFill="1" applyBorder="1" applyAlignment="1">
      <alignment horizontal="left" vertical="center" indent="1"/>
    </xf>
    <xf numFmtId="0" fontId="12" fillId="8" borderId="2" xfId="0" applyFont="1" applyFill="1" applyBorder="1" applyAlignment="1">
      <alignment horizontal="left" vertical="center" indent="1"/>
    </xf>
    <xf numFmtId="0" fontId="5" fillId="9" borderId="2" xfId="0" applyFont="1" applyFill="1" applyBorder="1" applyAlignment="1">
      <alignment horizontal="right" vertical="center"/>
    </xf>
    <xf numFmtId="0" fontId="5" fillId="6" borderId="2" xfId="0" applyFont="1" applyFill="1" applyBorder="1" applyAlignment="1">
      <alignment horizontal="center" vertical="center"/>
    </xf>
    <xf numFmtId="165" fontId="5" fillId="9" borderId="2" xfId="0" applyNumberFormat="1" applyFont="1" applyFill="1" applyBorder="1" applyAlignment="1">
      <alignment horizontal="right" vertical="center"/>
    </xf>
    <xf numFmtId="164" fontId="5" fillId="9" borderId="2" xfId="0" applyNumberFormat="1" applyFont="1" applyFill="1" applyBorder="1" applyAlignment="1">
      <alignment horizontal="right" vertical="center"/>
    </xf>
    <xf numFmtId="0" fontId="5" fillId="9" borderId="2" xfId="0" applyFont="1" applyFill="1" applyBorder="1" applyAlignment="1">
      <alignment horizontal="center" vertical="center"/>
    </xf>
    <xf numFmtId="1" fontId="5" fillId="9" borderId="2" xfId="0" applyNumberFormat="1" applyFont="1" applyFill="1" applyBorder="1" applyAlignment="1">
      <alignment horizontal="center" vertical="center"/>
    </xf>
    <xf numFmtId="9" fontId="5" fillId="5" borderId="2" xfId="0" applyNumberFormat="1" applyFont="1" applyFill="1" applyBorder="1" applyAlignment="1">
      <alignment horizontal="center" vertical="center"/>
    </xf>
    <xf numFmtId="9" fontId="5" fillId="4" borderId="2" xfId="0" applyNumberFormat="1" applyFont="1" applyFill="1" applyBorder="1" applyAlignment="1">
      <alignment horizontal="center" vertical="center"/>
    </xf>
    <xf numFmtId="0" fontId="5" fillId="7" borderId="2" xfId="0" applyFont="1" applyFill="1" applyBorder="1" applyAlignment="1">
      <alignment horizontal="left" vertical="center" indent="1"/>
    </xf>
    <xf numFmtId="9" fontId="11" fillId="7" borderId="2" xfId="0" applyNumberFormat="1" applyFont="1" applyFill="1" applyBorder="1" applyAlignment="1">
      <alignment horizontal="center" vertical="center"/>
    </xf>
    <xf numFmtId="164" fontId="12" fillId="8" borderId="2" xfId="0" applyNumberFormat="1" applyFont="1" applyFill="1" applyBorder="1" applyAlignment="1">
      <alignment horizontal="right" vertical="center"/>
    </xf>
    <xf numFmtId="0" fontId="13" fillId="10" borderId="2" xfId="0" applyFont="1" applyFill="1" applyBorder="1" applyAlignment="1">
      <alignment horizontal="left" vertical="center" indent="1"/>
    </xf>
    <xf numFmtId="164" fontId="13" fillId="10" borderId="2" xfId="0" applyNumberFormat="1" applyFont="1" applyFill="1" applyBorder="1" applyAlignment="1">
      <alignment horizontal="right" vertical="center"/>
    </xf>
    <xf numFmtId="0" fontId="5" fillId="5" borderId="2" xfId="0" applyFont="1" applyFill="1" applyBorder="1" applyAlignment="1">
      <alignment horizontal="right" vertical="center"/>
    </xf>
    <xf numFmtId="0" fontId="9" fillId="7" borderId="2" xfId="0" applyFont="1" applyFill="1" applyBorder="1" applyAlignment="1">
      <alignment horizontal="center" vertical="center"/>
    </xf>
    <xf numFmtId="0" fontId="10" fillId="8" borderId="2" xfId="0" applyFont="1" applyFill="1" applyBorder="1" applyAlignment="1">
      <alignment horizontal="center" vertical="center"/>
    </xf>
    <xf numFmtId="0" fontId="2" fillId="2" borderId="2" xfId="0" applyFont="1" applyFill="1" applyBorder="1" applyAlignment="1">
      <alignment horizontal="left" vertical="center" wrapText="1" indent="1"/>
    </xf>
    <xf numFmtId="0" fontId="13" fillId="10"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993366"/>
      <rgbColor rgb="FFFFF2CC"/>
      <rgbColor rgb="FFDEEA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5F5F5"/>
      <rgbColor rgb="FFE2EFDA"/>
      <rgbColor rgb="FFFFFF99"/>
      <rgbColor rgb="FF99CCFF"/>
      <rgbColor rgb="FFFF99CC"/>
      <rgbColor rgb="FFCC99FF"/>
      <rgbColor rgb="FFFFE0E0"/>
      <rgbColor rgb="FF2E75B6"/>
      <rgbColor rgb="FF33CCCC"/>
      <rgbColor rgb="FF99CC00"/>
      <rgbColor rgb="FFFFCC00"/>
      <rgbColor rgb="FFFF9900"/>
      <rgbColor rgb="FFFF6600"/>
      <rgbColor rgb="FF666666"/>
      <rgbColor rgb="FF969696"/>
      <rgbColor rgb="FF003366"/>
      <rgbColor rgb="FF339966"/>
      <rgbColor rgb="FF003300"/>
      <rgbColor rgb="FF375623"/>
      <rgbColor rgb="FF993300"/>
      <rgbColor rgb="FF993366"/>
      <rgbColor rgb="FF1F4E7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24"/>
  <sheetViews>
    <sheetView showGridLines="0" zoomScaleNormal="100" workbookViewId="0">
      <selection activeCell="D1" sqref="D1:D1048576"/>
    </sheetView>
  </sheetViews>
  <sheetFormatPr baseColWidth="10" defaultColWidth="8.6640625" defaultRowHeight="15" x14ac:dyDescent="0.2"/>
  <cols>
    <col min="1" max="1" width="3" customWidth="1"/>
    <col min="2" max="2" width="28" customWidth="1"/>
    <col min="3" max="3" width="22" customWidth="1"/>
    <col min="4" max="4" width="62.33203125" customWidth="1"/>
    <col min="5" max="5" width="3" customWidth="1"/>
  </cols>
  <sheetData>
    <row r="1" spans="2:4" ht="7.5" customHeight="1" x14ac:dyDescent="0.2"/>
    <row r="2" spans="2:4" ht="39.75" customHeight="1" x14ac:dyDescent="0.2">
      <c r="B2" s="11" t="s">
        <v>0</v>
      </c>
      <c r="C2" s="11"/>
      <c r="D2" s="11"/>
    </row>
    <row r="3" spans="2:4" ht="19.5" customHeight="1" x14ac:dyDescent="0.2">
      <c r="B3" s="10" t="s">
        <v>1</v>
      </c>
      <c r="C3" s="10"/>
      <c r="D3" s="10"/>
    </row>
    <row r="4" spans="2:4" ht="9.75" customHeight="1" x14ac:dyDescent="0.2"/>
    <row r="5" spans="2:4" ht="19.5" customHeight="1" x14ac:dyDescent="0.2">
      <c r="B5" s="9" t="s">
        <v>2</v>
      </c>
      <c r="C5" s="9"/>
      <c r="D5" s="9"/>
    </row>
    <row r="6" spans="2:4" ht="21.75" customHeight="1" x14ac:dyDescent="0.2">
      <c r="B6" s="12" t="s">
        <v>3</v>
      </c>
      <c r="C6" s="8" t="s">
        <v>4</v>
      </c>
      <c r="D6" s="8"/>
    </row>
    <row r="7" spans="2:4" ht="21.75" customHeight="1" x14ac:dyDescent="0.2">
      <c r="B7" s="13" t="s">
        <v>5</v>
      </c>
      <c r="C7" s="7" t="s">
        <v>6</v>
      </c>
      <c r="D7" s="7"/>
    </row>
    <row r="8" spans="2:4" ht="21.75" customHeight="1" x14ac:dyDescent="0.2">
      <c r="B8" s="12" t="s">
        <v>7</v>
      </c>
      <c r="C8" s="8" t="s">
        <v>8</v>
      </c>
      <c r="D8" s="8"/>
    </row>
    <row r="9" spans="2:4" ht="21.75" customHeight="1" x14ac:dyDescent="0.2">
      <c r="B9" s="13" t="s">
        <v>9</v>
      </c>
      <c r="C9" s="7" t="s">
        <v>10</v>
      </c>
      <c r="D9" s="7"/>
    </row>
    <row r="10" spans="2:4" ht="21.75" customHeight="1" x14ac:dyDescent="0.2">
      <c r="B10" s="12" t="s">
        <v>11</v>
      </c>
      <c r="C10" s="8" t="s">
        <v>12</v>
      </c>
      <c r="D10" s="8"/>
    </row>
    <row r="11" spans="2:4" ht="21.75" customHeight="1" x14ac:dyDescent="0.2">
      <c r="B11" s="13" t="s">
        <v>13</v>
      </c>
      <c r="C11" s="7" t="s">
        <v>14</v>
      </c>
      <c r="D11" s="7"/>
    </row>
    <row r="12" spans="2:4" ht="21.75" customHeight="1" x14ac:dyDescent="0.2">
      <c r="B12" s="12" t="s">
        <v>15</v>
      </c>
      <c r="C12" s="8" t="s">
        <v>16</v>
      </c>
      <c r="D12" s="8"/>
    </row>
    <row r="13" spans="2:4" ht="21.75" customHeight="1" x14ac:dyDescent="0.2">
      <c r="B13" s="13" t="s">
        <v>17</v>
      </c>
      <c r="C13" s="7" t="s">
        <v>18</v>
      </c>
      <c r="D13" s="7"/>
    </row>
    <row r="14" spans="2:4" ht="9.75" customHeight="1" x14ac:dyDescent="0.2"/>
    <row r="15" spans="2:4" ht="19.5" customHeight="1" x14ac:dyDescent="0.2">
      <c r="B15" s="9" t="s">
        <v>19</v>
      </c>
      <c r="C15" s="9"/>
      <c r="D15" s="9"/>
    </row>
    <row r="16" spans="2:4" ht="19.5" customHeight="1" x14ac:dyDescent="0.2">
      <c r="B16" s="12" t="s">
        <v>20</v>
      </c>
      <c r="C16" s="6" t="s">
        <v>21</v>
      </c>
      <c r="D16" s="6"/>
    </row>
    <row r="17" spans="2:4" ht="19.5" customHeight="1" x14ac:dyDescent="0.2">
      <c r="B17" s="13" t="s">
        <v>22</v>
      </c>
      <c r="C17" s="5" t="s">
        <v>23</v>
      </c>
      <c r="D17" s="5"/>
    </row>
    <row r="18" spans="2:4" ht="19.5" customHeight="1" x14ac:dyDescent="0.2">
      <c r="B18" s="12" t="s">
        <v>24</v>
      </c>
      <c r="C18" s="6" t="s">
        <v>25</v>
      </c>
      <c r="D18" s="6"/>
    </row>
    <row r="19" spans="2:4" ht="19.5" customHeight="1" x14ac:dyDescent="0.2">
      <c r="B19" s="13" t="s">
        <v>26</v>
      </c>
      <c r="C19" s="5" t="s">
        <v>27</v>
      </c>
      <c r="D19" s="5"/>
    </row>
    <row r="20" spans="2:4" ht="19.5" customHeight="1" x14ac:dyDescent="0.2">
      <c r="B20" s="12" t="s">
        <v>28</v>
      </c>
      <c r="C20" s="6" t="s">
        <v>29</v>
      </c>
      <c r="D20" s="6"/>
    </row>
    <row r="21" spans="2:4" ht="19.5" customHeight="1" x14ac:dyDescent="0.2">
      <c r="B21" s="13" t="s">
        <v>30</v>
      </c>
      <c r="C21" s="5" t="s">
        <v>31</v>
      </c>
      <c r="D21" s="5"/>
    </row>
    <row r="22" spans="2:4" ht="9.75" customHeight="1" x14ac:dyDescent="0.2"/>
    <row r="23" spans="2:4" ht="19.5" customHeight="1" x14ac:dyDescent="0.2">
      <c r="B23" s="9" t="s">
        <v>32</v>
      </c>
      <c r="C23" s="9"/>
      <c r="D23" s="9"/>
    </row>
    <row r="24" spans="2:4" ht="39.75" customHeight="1" x14ac:dyDescent="0.2">
      <c r="B24" s="4" t="s">
        <v>33</v>
      </c>
      <c r="C24" s="4"/>
      <c r="D24" s="4"/>
    </row>
  </sheetData>
  <mergeCells count="20">
    <mergeCell ref="C19:D19"/>
    <mergeCell ref="C20:D20"/>
    <mergeCell ref="C21:D21"/>
    <mergeCell ref="B23:D23"/>
    <mergeCell ref="B24:D24"/>
    <mergeCell ref="C13:D13"/>
    <mergeCell ref="B15:D15"/>
    <mergeCell ref="C16:D16"/>
    <mergeCell ref="C17:D17"/>
    <mergeCell ref="C18:D18"/>
    <mergeCell ref="C8:D8"/>
    <mergeCell ref="C9:D9"/>
    <mergeCell ref="C10:D10"/>
    <mergeCell ref="C11:D11"/>
    <mergeCell ref="C12:D12"/>
    <mergeCell ref="B2:D2"/>
    <mergeCell ref="B3:D3"/>
    <mergeCell ref="B5:D5"/>
    <mergeCell ref="C6:D6"/>
    <mergeCell ref="C7:D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30"/>
  <sheetViews>
    <sheetView showGridLines="0" zoomScaleNormal="100" workbookViewId="0">
      <selection activeCell="D1" sqref="D1:D1048576"/>
    </sheetView>
  </sheetViews>
  <sheetFormatPr baseColWidth="10" defaultColWidth="8.6640625" defaultRowHeight="15" x14ac:dyDescent="0.2"/>
  <cols>
    <col min="1" max="1" width="3" customWidth="1"/>
    <col min="2" max="2" width="34" customWidth="1"/>
    <col min="3" max="3" width="16" customWidth="1"/>
    <col min="4" max="4" width="62.33203125" customWidth="1"/>
    <col min="5" max="5" width="3" customWidth="1"/>
  </cols>
  <sheetData>
    <row r="1" spans="2:4" ht="27.75" customHeight="1" x14ac:dyDescent="0.2">
      <c r="B1" s="3" t="s">
        <v>34</v>
      </c>
      <c r="C1" s="3"/>
      <c r="D1" s="3"/>
    </row>
    <row r="2" spans="2:4" ht="7.5" customHeight="1" x14ac:dyDescent="0.2"/>
    <row r="3" spans="2:4" ht="19.5" customHeight="1" x14ac:dyDescent="0.2">
      <c r="B3" s="9" t="s">
        <v>35</v>
      </c>
      <c r="C3" s="9"/>
      <c r="D3" s="9"/>
    </row>
    <row r="4" spans="2:4" ht="19.5" customHeight="1" x14ac:dyDescent="0.2">
      <c r="B4" s="14" t="s">
        <v>36</v>
      </c>
      <c r="C4" s="14" t="s">
        <v>37</v>
      </c>
      <c r="D4" s="14" t="s">
        <v>38</v>
      </c>
    </row>
    <row r="5" spans="2:4" ht="19.5" customHeight="1" x14ac:dyDescent="0.2">
      <c r="B5" s="15" t="s">
        <v>39</v>
      </c>
      <c r="C5" s="16">
        <v>2850000</v>
      </c>
      <c r="D5" s="17" t="s">
        <v>40</v>
      </c>
    </row>
    <row r="6" spans="2:4" ht="19.5" customHeight="1" x14ac:dyDescent="0.2">
      <c r="B6" s="18" t="s">
        <v>41</v>
      </c>
      <c r="C6" s="19">
        <v>680000</v>
      </c>
      <c r="D6" s="20" t="s">
        <v>42</v>
      </c>
    </row>
    <row r="7" spans="2:4" ht="19.5" customHeight="1" x14ac:dyDescent="0.2">
      <c r="B7" s="15" t="s">
        <v>43</v>
      </c>
      <c r="C7" s="16">
        <v>925000</v>
      </c>
      <c r="D7" s="17" t="s">
        <v>44</v>
      </c>
    </row>
    <row r="8" spans="2:4" ht="19.5" customHeight="1" x14ac:dyDescent="0.2">
      <c r="B8" s="18" t="s">
        <v>45</v>
      </c>
      <c r="C8" s="19">
        <v>710000</v>
      </c>
      <c r="D8" s="20" t="s">
        <v>44</v>
      </c>
    </row>
    <row r="9" spans="2:4" ht="19.5" customHeight="1" x14ac:dyDescent="0.2">
      <c r="B9" s="15" t="s">
        <v>46</v>
      </c>
      <c r="C9" s="16">
        <v>95000</v>
      </c>
      <c r="D9" s="17" t="s">
        <v>47</v>
      </c>
    </row>
    <row r="10" spans="2:4" ht="19.5" customHeight="1" x14ac:dyDescent="0.2">
      <c r="B10" s="18" t="s">
        <v>48</v>
      </c>
      <c r="C10" s="19">
        <v>95000</v>
      </c>
      <c r="D10" s="20" t="s">
        <v>47</v>
      </c>
    </row>
    <row r="11" spans="2:4" ht="19.5" customHeight="1" x14ac:dyDescent="0.2">
      <c r="B11" s="15" t="s">
        <v>49</v>
      </c>
      <c r="C11" s="16">
        <v>1450000</v>
      </c>
      <c r="D11" s="17" t="s">
        <v>50</v>
      </c>
    </row>
    <row r="12" spans="2:4" ht="19.5" customHeight="1" x14ac:dyDescent="0.2">
      <c r="B12" s="18" t="s">
        <v>51</v>
      </c>
      <c r="C12" s="19">
        <v>148000</v>
      </c>
      <c r="D12" s="20" t="s">
        <v>52</v>
      </c>
    </row>
    <row r="13" spans="2:4" ht="19.5" customHeight="1" x14ac:dyDescent="0.2">
      <c r="B13" s="15" t="s">
        <v>53</v>
      </c>
      <c r="C13" s="16">
        <v>1200000</v>
      </c>
      <c r="D13" s="17" t="s">
        <v>54</v>
      </c>
    </row>
    <row r="14" spans="2:4" ht="19.5" customHeight="1" x14ac:dyDescent="0.2">
      <c r="B14" s="18" t="s">
        <v>55</v>
      </c>
      <c r="C14" s="19">
        <v>880000</v>
      </c>
      <c r="D14" s="20" t="s">
        <v>56</v>
      </c>
    </row>
    <row r="15" spans="2:4" ht="19.5" customHeight="1" x14ac:dyDescent="0.2">
      <c r="B15" s="15" t="s">
        <v>57</v>
      </c>
      <c r="C15" s="16">
        <v>185000</v>
      </c>
      <c r="D15" s="17" t="s">
        <v>58</v>
      </c>
    </row>
    <row r="16" spans="2:4" ht="19.5" customHeight="1" x14ac:dyDescent="0.2">
      <c r="B16" s="18" t="s">
        <v>59</v>
      </c>
      <c r="C16" s="19">
        <v>220000</v>
      </c>
      <c r="D16" s="20" t="s">
        <v>60</v>
      </c>
    </row>
    <row r="17" spans="2:4" ht="21.75" customHeight="1" x14ac:dyDescent="0.2">
      <c r="B17" s="21" t="s">
        <v>61</v>
      </c>
      <c r="C17" s="22">
        <f>SUM(C5:C16)</f>
        <v>9438000</v>
      </c>
      <c r="D17" s="23"/>
    </row>
    <row r="18" spans="2:4" ht="9.75" customHeight="1" x14ac:dyDescent="0.2"/>
    <row r="19" spans="2:4" ht="19.5" customHeight="1" x14ac:dyDescent="0.2">
      <c r="B19" s="9" t="s">
        <v>62</v>
      </c>
      <c r="C19" s="9"/>
      <c r="D19" s="9"/>
    </row>
    <row r="20" spans="2:4" ht="19.5" customHeight="1" x14ac:dyDescent="0.2">
      <c r="B20" s="14" t="s">
        <v>63</v>
      </c>
      <c r="C20" s="14" t="s">
        <v>64</v>
      </c>
      <c r="D20" s="14" t="s">
        <v>38</v>
      </c>
    </row>
    <row r="21" spans="2:4" ht="19.5" customHeight="1" x14ac:dyDescent="0.2">
      <c r="B21" s="15" t="s">
        <v>65</v>
      </c>
      <c r="C21" s="16">
        <v>420000</v>
      </c>
      <c r="D21" s="15" t="s">
        <v>66</v>
      </c>
    </row>
    <row r="22" spans="2:4" ht="19.5" customHeight="1" x14ac:dyDescent="0.2">
      <c r="B22" s="18" t="s">
        <v>67</v>
      </c>
      <c r="C22" s="19">
        <v>85000</v>
      </c>
      <c r="D22" s="18" t="s">
        <v>68</v>
      </c>
    </row>
    <row r="23" spans="2:4" ht="19.5" customHeight="1" x14ac:dyDescent="0.2">
      <c r="B23" s="15" t="s">
        <v>69</v>
      </c>
      <c r="C23" s="16">
        <v>42000</v>
      </c>
      <c r="D23" s="15" t="s">
        <v>70</v>
      </c>
    </row>
    <row r="24" spans="2:4" ht="19.5" customHeight="1" x14ac:dyDescent="0.2">
      <c r="B24" s="18" t="s">
        <v>71</v>
      </c>
      <c r="C24" s="19">
        <v>8500</v>
      </c>
      <c r="D24" s="18" t="s">
        <v>72</v>
      </c>
    </row>
    <row r="25" spans="2:4" ht="21.75" customHeight="1" x14ac:dyDescent="0.2">
      <c r="B25" s="21" t="s">
        <v>73</v>
      </c>
      <c r="C25" s="22">
        <f>SUM(C21:C24)</f>
        <v>555500</v>
      </c>
      <c r="D25" s="23"/>
    </row>
    <row r="26" spans="2:4" ht="9.75" customHeight="1" x14ac:dyDescent="0.2"/>
    <row r="27" spans="2:4" ht="19.5" customHeight="1" x14ac:dyDescent="0.2">
      <c r="B27" s="9" t="s">
        <v>74</v>
      </c>
      <c r="C27" s="9"/>
      <c r="D27" s="9"/>
    </row>
    <row r="28" spans="2:4" ht="21.75" customHeight="1" x14ac:dyDescent="0.2">
      <c r="B28" s="24" t="s">
        <v>75</v>
      </c>
      <c r="C28" s="25">
        <f>C17</f>
        <v>9438000</v>
      </c>
      <c r="D28" s="26"/>
    </row>
    <row r="29" spans="2:4" ht="21.75" customHeight="1" x14ac:dyDescent="0.2">
      <c r="B29" s="27" t="s">
        <v>76</v>
      </c>
      <c r="C29" s="28">
        <f>C25</f>
        <v>555500</v>
      </c>
      <c r="D29" s="29"/>
    </row>
    <row r="30" spans="2:4" ht="21.75" customHeight="1" x14ac:dyDescent="0.2">
      <c r="B30" s="30" t="s">
        <v>77</v>
      </c>
      <c r="C30" s="31">
        <f>C28-C29</f>
        <v>8882500</v>
      </c>
      <c r="D30" s="32"/>
    </row>
  </sheetData>
  <mergeCells count="4">
    <mergeCell ref="B1:D1"/>
    <mergeCell ref="B3:D3"/>
    <mergeCell ref="B19:D19"/>
    <mergeCell ref="B27:D2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35"/>
  <sheetViews>
    <sheetView showGridLines="0" zoomScaleNormal="100" workbookViewId="0">
      <selection activeCell="C34" sqref="C34"/>
    </sheetView>
  </sheetViews>
  <sheetFormatPr baseColWidth="10" defaultColWidth="8.6640625" defaultRowHeight="15" x14ac:dyDescent="0.2"/>
  <cols>
    <col min="1" max="1" width="3" customWidth="1"/>
    <col min="2" max="2" width="42.6640625" bestFit="1" customWidth="1"/>
    <col min="3" max="3" width="16" customWidth="1"/>
    <col min="4" max="4" width="41.5" bestFit="1" customWidth="1"/>
    <col min="5" max="5" width="3" customWidth="1"/>
  </cols>
  <sheetData>
    <row r="1" spans="2:4" ht="27.75" customHeight="1" x14ac:dyDescent="0.2">
      <c r="B1" s="3" t="s">
        <v>78</v>
      </c>
      <c r="C1" s="3"/>
      <c r="D1" s="3"/>
    </row>
    <row r="2" spans="2:4" ht="7.5" customHeight="1" x14ac:dyDescent="0.2"/>
    <row r="3" spans="2:4" ht="19.5" customHeight="1" x14ac:dyDescent="0.2">
      <c r="B3" s="9" t="s">
        <v>79</v>
      </c>
      <c r="C3" s="9"/>
      <c r="D3" s="9"/>
    </row>
    <row r="4" spans="2:4" ht="19.5" customHeight="1" x14ac:dyDescent="0.2">
      <c r="B4" s="14" t="s">
        <v>80</v>
      </c>
      <c r="C4" s="14" t="s">
        <v>81</v>
      </c>
      <c r="D4" s="14" t="s">
        <v>38</v>
      </c>
    </row>
    <row r="5" spans="2:4" ht="19.5" customHeight="1" x14ac:dyDescent="0.2">
      <c r="B5" s="15" t="s">
        <v>82</v>
      </c>
      <c r="C5" s="16">
        <v>420000</v>
      </c>
      <c r="D5" s="17" t="s">
        <v>83</v>
      </c>
    </row>
    <row r="6" spans="2:4" ht="19.5" customHeight="1" x14ac:dyDescent="0.2">
      <c r="B6" s="18" t="s">
        <v>84</v>
      </c>
      <c r="C6" s="19">
        <v>280000</v>
      </c>
      <c r="D6" s="20" t="s">
        <v>85</v>
      </c>
    </row>
    <row r="7" spans="2:4" ht="19.5" customHeight="1" x14ac:dyDescent="0.2">
      <c r="B7" s="15" t="s">
        <v>86</v>
      </c>
      <c r="C7" s="16">
        <v>120000</v>
      </c>
      <c r="D7" s="17" t="s">
        <v>87</v>
      </c>
    </row>
    <row r="8" spans="2:4" ht="19.5" customHeight="1" x14ac:dyDescent="0.2">
      <c r="B8" s="18" t="s">
        <v>88</v>
      </c>
      <c r="C8" s="19">
        <v>52000</v>
      </c>
      <c r="D8" s="20" t="s">
        <v>89</v>
      </c>
    </row>
    <row r="9" spans="2:4" ht="19.5" customHeight="1" x14ac:dyDescent="0.2">
      <c r="B9" s="15" t="s">
        <v>90</v>
      </c>
      <c r="C9" s="16">
        <v>0</v>
      </c>
      <c r="D9" s="17" t="s">
        <v>91</v>
      </c>
    </row>
    <row r="10" spans="2:4" ht="21.75" customHeight="1" x14ac:dyDescent="0.2">
      <c r="B10" s="21" t="s">
        <v>92</v>
      </c>
      <c r="C10" s="22">
        <f>SUM(C5:C9)</f>
        <v>872000</v>
      </c>
      <c r="D10" s="23"/>
    </row>
    <row r="11" spans="2:4" ht="7.5" customHeight="1" x14ac:dyDescent="0.2"/>
    <row r="12" spans="2:4" ht="19.5" customHeight="1" x14ac:dyDescent="0.2">
      <c r="B12" s="9" t="s">
        <v>93</v>
      </c>
      <c r="C12" s="9"/>
      <c r="D12" s="9"/>
    </row>
    <row r="13" spans="2:4" ht="19.5" customHeight="1" x14ac:dyDescent="0.2">
      <c r="B13" s="14" t="s">
        <v>94</v>
      </c>
      <c r="C13" s="14" t="s">
        <v>81</v>
      </c>
      <c r="D13" s="14" t="s">
        <v>38</v>
      </c>
    </row>
    <row r="14" spans="2:4" ht="19.5" customHeight="1" x14ac:dyDescent="0.2">
      <c r="B14" s="18" t="s">
        <v>95</v>
      </c>
      <c r="C14" s="19">
        <v>42000</v>
      </c>
      <c r="D14" s="20" t="s">
        <v>96</v>
      </c>
    </row>
    <row r="15" spans="2:4" ht="19.5" customHeight="1" x14ac:dyDescent="0.2">
      <c r="B15" s="15" t="s">
        <v>97</v>
      </c>
      <c r="C15" s="16">
        <v>28000</v>
      </c>
      <c r="D15" s="17" t="s">
        <v>98</v>
      </c>
    </row>
    <row r="16" spans="2:4" ht="19.5" customHeight="1" x14ac:dyDescent="0.2">
      <c r="B16" s="18" t="s">
        <v>99</v>
      </c>
      <c r="C16" s="19">
        <v>96000</v>
      </c>
      <c r="D16" s="20" t="s">
        <v>100</v>
      </c>
    </row>
    <row r="17" spans="2:4" ht="19.5" customHeight="1" x14ac:dyDescent="0.2">
      <c r="B17" s="15" t="s">
        <v>101</v>
      </c>
      <c r="C17" s="16">
        <v>48000</v>
      </c>
      <c r="D17" s="17" t="s">
        <v>102</v>
      </c>
    </row>
    <row r="18" spans="2:4" ht="19.5" customHeight="1" x14ac:dyDescent="0.2">
      <c r="B18" s="18" t="s">
        <v>103</v>
      </c>
      <c r="C18" s="19">
        <v>55000</v>
      </c>
      <c r="D18" s="20" t="s">
        <v>104</v>
      </c>
    </row>
    <row r="19" spans="2:4" ht="19.5" customHeight="1" x14ac:dyDescent="0.2">
      <c r="B19" s="15" t="s">
        <v>105</v>
      </c>
      <c r="C19" s="16">
        <v>38000</v>
      </c>
      <c r="D19" s="17" t="s">
        <v>106</v>
      </c>
    </row>
    <row r="20" spans="2:4" ht="19.5" customHeight="1" x14ac:dyDescent="0.2">
      <c r="B20" s="18" t="s">
        <v>107</v>
      </c>
      <c r="C20" s="19">
        <v>22000</v>
      </c>
      <c r="D20" s="20" t="s">
        <v>108</v>
      </c>
    </row>
    <row r="21" spans="2:4" ht="19.5" customHeight="1" x14ac:dyDescent="0.2">
      <c r="B21" s="15" t="s">
        <v>109</v>
      </c>
      <c r="C21" s="16">
        <v>25000</v>
      </c>
      <c r="D21" s="17" t="s">
        <v>110</v>
      </c>
    </row>
    <row r="22" spans="2:4" ht="19.5" customHeight="1" x14ac:dyDescent="0.2">
      <c r="B22" s="18" t="s">
        <v>111</v>
      </c>
      <c r="C22" s="19">
        <v>40000</v>
      </c>
      <c r="D22" s="20" t="s">
        <v>112</v>
      </c>
    </row>
    <row r="23" spans="2:4" ht="21.75" customHeight="1" x14ac:dyDescent="0.2">
      <c r="B23" s="21" t="s">
        <v>113</v>
      </c>
      <c r="C23" s="22">
        <f>SUM(C14:C22)</f>
        <v>394000</v>
      </c>
      <c r="D23" s="23"/>
    </row>
    <row r="24" spans="2:4" ht="7.5" customHeight="1" x14ac:dyDescent="0.2"/>
    <row r="25" spans="2:4" ht="19.5" customHeight="1" x14ac:dyDescent="0.2">
      <c r="B25" s="9" t="s">
        <v>114</v>
      </c>
      <c r="C25" s="9"/>
      <c r="D25" s="9"/>
    </row>
    <row r="26" spans="2:4" ht="19.5" customHeight="1" x14ac:dyDescent="0.2">
      <c r="B26" s="14" t="s">
        <v>115</v>
      </c>
      <c r="C26" s="14" t="s">
        <v>81</v>
      </c>
      <c r="D26" s="14" t="s">
        <v>38</v>
      </c>
    </row>
    <row r="27" spans="2:4" ht="21.75" customHeight="1" x14ac:dyDescent="0.2">
      <c r="B27" s="24" t="s">
        <v>116</v>
      </c>
      <c r="C27" s="25">
        <f>C10-C23</f>
        <v>478000</v>
      </c>
      <c r="D27" s="33" t="s">
        <v>117</v>
      </c>
    </row>
    <row r="28" spans="2:4" ht="19.5" customHeight="1" x14ac:dyDescent="0.2">
      <c r="B28" s="18" t="s">
        <v>118</v>
      </c>
      <c r="C28" s="19">
        <v>29000</v>
      </c>
      <c r="D28" s="18" t="s">
        <v>119</v>
      </c>
    </row>
    <row r="29" spans="2:4" ht="19.5" customHeight="1" x14ac:dyDescent="0.2">
      <c r="B29" s="15" t="s">
        <v>120</v>
      </c>
      <c r="C29" s="16">
        <v>27000</v>
      </c>
      <c r="D29" s="15" t="s">
        <v>119</v>
      </c>
    </row>
    <row r="30" spans="2:4" ht="19.5" customHeight="1" x14ac:dyDescent="0.2">
      <c r="B30" s="18" t="s">
        <v>121</v>
      </c>
      <c r="C30" s="19">
        <v>14000</v>
      </c>
      <c r="D30" s="18" t="s">
        <v>122</v>
      </c>
    </row>
    <row r="31" spans="2:4" ht="19.5" customHeight="1" x14ac:dyDescent="0.2">
      <c r="B31" s="15" t="s">
        <v>123</v>
      </c>
      <c r="C31" s="16">
        <v>8000</v>
      </c>
      <c r="D31" s="15" t="s">
        <v>124</v>
      </c>
    </row>
    <row r="32" spans="2:4" ht="19.5" customHeight="1" x14ac:dyDescent="0.2">
      <c r="B32" s="18" t="s">
        <v>125</v>
      </c>
      <c r="C32" s="19">
        <v>50000</v>
      </c>
      <c r="D32" s="18" t="s">
        <v>126</v>
      </c>
    </row>
    <row r="33" spans="2:4" ht="19.5" customHeight="1" x14ac:dyDescent="0.2">
      <c r="B33" s="34" t="s">
        <v>127</v>
      </c>
      <c r="C33" s="35">
        <f>C27-SUM(C28:C32)</f>
        <v>350000</v>
      </c>
      <c r="D33" s="36" t="s">
        <v>128</v>
      </c>
    </row>
    <row r="34" spans="2:4" ht="21.75" customHeight="1" x14ac:dyDescent="0.2">
      <c r="B34" s="21" t="s">
        <v>129</v>
      </c>
      <c r="C34" s="22">
        <f>SUM(C28:C33)</f>
        <v>478000</v>
      </c>
      <c r="D34" s="23"/>
    </row>
    <row r="35" spans="2:4" ht="19.5" customHeight="1" x14ac:dyDescent="0.2">
      <c r="B35" s="27" t="s">
        <v>130</v>
      </c>
      <c r="C35" s="28">
        <f>C27-C34</f>
        <v>0</v>
      </c>
      <c r="D35" s="37" t="s">
        <v>131</v>
      </c>
    </row>
  </sheetData>
  <mergeCells count="4">
    <mergeCell ref="B1:D1"/>
    <mergeCell ref="B3:D3"/>
    <mergeCell ref="B12:D12"/>
    <mergeCell ref="B25:D2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36"/>
  <sheetViews>
    <sheetView showGridLines="0" zoomScaleNormal="100" workbookViewId="0">
      <selection activeCell="E27" sqref="E27"/>
    </sheetView>
  </sheetViews>
  <sheetFormatPr baseColWidth="10" defaultColWidth="8.6640625" defaultRowHeight="15" x14ac:dyDescent="0.2"/>
  <cols>
    <col min="1" max="1" width="3" customWidth="1"/>
    <col min="2" max="2" width="43.83203125" bestFit="1" customWidth="1"/>
    <col min="3" max="3" width="12.1640625" bestFit="1" customWidth="1"/>
    <col min="4" max="5" width="37.1640625" bestFit="1" customWidth="1"/>
    <col min="6" max="6" width="32.1640625" bestFit="1" customWidth="1"/>
  </cols>
  <sheetData>
    <row r="1" spans="2:5" ht="27.75" customHeight="1" x14ac:dyDescent="0.2">
      <c r="B1" s="3" t="s">
        <v>132</v>
      </c>
      <c r="C1" s="3"/>
      <c r="D1" s="3"/>
      <c r="E1" s="3"/>
    </row>
    <row r="2" spans="2:5" ht="7.5" customHeight="1" x14ac:dyDescent="0.2"/>
    <row r="3" spans="2:5" ht="19.5" customHeight="1" x14ac:dyDescent="0.2">
      <c r="B3" s="9" t="s">
        <v>133</v>
      </c>
      <c r="C3" s="9"/>
      <c r="D3" s="9"/>
      <c r="E3" s="9"/>
    </row>
    <row r="4" spans="2:5" ht="19.5" customHeight="1" x14ac:dyDescent="0.2">
      <c r="B4" s="14" t="s">
        <v>134</v>
      </c>
      <c r="C4" s="14" t="s">
        <v>135</v>
      </c>
      <c r="D4" s="14" t="s">
        <v>38</v>
      </c>
    </row>
    <row r="5" spans="2:5" ht="19.5" customHeight="1" x14ac:dyDescent="0.2">
      <c r="B5" s="15" t="s">
        <v>137</v>
      </c>
      <c r="C5" s="38">
        <v>52</v>
      </c>
      <c r="D5" s="17" t="s">
        <v>139</v>
      </c>
    </row>
    <row r="6" spans="2:5" ht="19.5" customHeight="1" x14ac:dyDescent="0.2">
      <c r="B6" s="18" t="s">
        <v>140</v>
      </c>
      <c r="C6" s="38">
        <v>49</v>
      </c>
      <c r="D6" s="20"/>
    </row>
    <row r="7" spans="2:5" ht="19.5" customHeight="1" x14ac:dyDescent="0.2">
      <c r="B7" s="15" t="s">
        <v>142</v>
      </c>
      <c r="C7" s="38">
        <v>60</v>
      </c>
      <c r="D7" s="17" t="s">
        <v>144</v>
      </c>
    </row>
    <row r="8" spans="2:5" ht="19.5" customHeight="1" x14ac:dyDescent="0.2">
      <c r="B8" s="18" t="s">
        <v>145</v>
      </c>
      <c r="C8" s="38">
        <v>62</v>
      </c>
      <c r="D8" s="20" t="s">
        <v>147</v>
      </c>
    </row>
    <row r="9" spans="2:5" ht="19.5" customHeight="1" x14ac:dyDescent="0.2">
      <c r="B9" s="15" t="s">
        <v>148</v>
      </c>
      <c r="C9" s="38">
        <v>8</v>
      </c>
      <c r="D9" s="17" t="s">
        <v>150</v>
      </c>
    </row>
    <row r="10" spans="2:5" ht="19.5" customHeight="1" x14ac:dyDescent="0.2">
      <c r="B10" s="18" t="s">
        <v>151</v>
      </c>
      <c r="C10" s="40">
        <v>6.5000000000000002E-2</v>
      </c>
      <c r="D10" s="20" t="s">
        <v>153</v>
      </c>
    </row>
    <row r="11" spans="2:5" ht="19.5" customHeight="1" x14ac:dyDescent="0.2">
      <c r="B11" s="15" t="s">
        <v>154</v>
      </c>
      <c r="C11" s="40">
        <v>4.4999999999999998E-2</v>
      </c>
      <c r="D11" s="17" t="s">
        <v>156</v>
      </c>
    </row>
    <row r="12" spans="2:5" ht="19.5" customHeight="1" x14ac:dyDescent="0.2">
      <c r="B12" s="18" t="s">
        <v>157</v>
      </c>
      <c r="C12" s="40">
        <v>2.5000000000000001E-2</v>
      </c>
      <c r="D12" s="20" t="s">
        <v>158</v>
      </c>
    </row>
    <row r="13" spans="2:5" ht="19.5" customHeight="1" x14ac:dyDescent="0.2">
      <c r="B13" s="15" t="s">
        <v>159</v>
      </c>
      <c r="C13" s="41">
        <v>350000</v>
      </c>
      <c r="D13" s="17" t="s">
        <v>160</v>
      </c>
    </row>
    <row r="14" spans="2:5" ht="19.5" customHeight="1" x14ac:dyDescent="0.2">
      <c r="B14" s="18" t="s">
        <v>161</v>
      </c>
      <c r="C14" s="40">
        <v>426441</v>
      </c>
      <c r="D14" s="20" t="s">
        <v>162</v>
      </c>
    </row>
    <row r="15" spans="2:5" ht="7.5" customHeight="1" x14ac:dyDescent="0.2"/>
    <row r="16" spans="2:5" ht="19.5" customHeight="1" x14ac:dyDescent="0.2">
      <c r="B16" s="9" t="s">
        <v>163</v>
      </c>
      <c r="C16" s="9"/>
      <c r="D16" s="9"/>
      <c r="E16" s="9"/>
    </row>
    <row r="17" spans="2:6" ht="19.5" customHeight="1" x14ac:dyDescent="0.2">
      <c r="B17" s="14" t="s">
        <v>164</v>
      </c>
      <c r="C17" s="14" t="s">
        <v>165</v>
      </c>
      <c r="D17" s="14" t="s">
        <v>166</v>
      </c>
      <c r="E17" s="14" t="s">
        <v>167</v>
      </c>
      <c r="F17" s="14" t="s">
        <v>168</v>
      </c>
    </row>
    <row r="18" spans="2:6" ht="19.5" customHeight="1" x14ac:dyDescent="0.2">
      <c r="B18" s="18" t="s">
        <v>169</v>
      </c>
      <c r="C18" s="41">
        <v>925000</v>
      </c>
      <c r="D18" s="42" t="s">
        <v>170</v>
      </c>
      <c r="E18" s="43" t="str">
        <f>B9</f>
        <v>Years to James Retirement</v>
      </c>
      <c r="F18" s="25">
        <f>C18*(1+0.065)^8</f>
        <v>1530870.9959436241</v>
      </c>
    </row>
    <row r="19" spans="2:6" ht="19.5" customHeight="1" x14ac:dyDescent="0.2">
      <c r="B19" s="15" t="s">
        <v>171</v>
      </c>
      <c r="C19" s="41">
        <v>710000</v>
      </c>
      <c r="D19" s="42" t="s">
        <v>170</v>
      </c>
      <c r="E19" s="43" t="s">
        <v>172</v>
      </c>
      <c r="F19" s="25">
        <f>C19*(1+0.065)^13</f>
        <v>1609916.123044356</v>
      </c>
    </row>
    <row r="20" spans="2:6" ht="19.5" customHeight="1" x14ac:dyDescent="0.2">
      <c r="B20" s="18" t="s">
        <v>173</v>
      </c>
      <c r="C20" s="41">
        <v>95000</v>
      </c>
      <c r="D20" s="42" t="s">
        <v>170</v>
      </c>
      <c r="E20" s="43" t="str">
        <f>B9</f>
        <v>Years to James Retirement</v>
      </c>
      <c r="F20" s="25">
        <f>C20*(1+0.065)^8+7000*((1+0.065)^8-1)/0.065</f>
        <v>227762.58414232425</v>
      </c>
    </row>
    <row r="21" spans="2:6" ht="19.5" customHeight="1" x14ac:dyDescent="0.2">
      <c r="B21" s="15" t="s">
        <v>174</v>
      </c>
      <c r="C21" s="41">
        <v>95000</v>
      </c>
      <c r="D21" s="42" t="s">
        <v>170</v>
      </c>
      <c r="E21" s="43" t="s">
        <v>172</v>
      </c>
      <c r="F21" s="25">
        <f>C21*(1+0.065)^13+7000*((1+0.065)^13-1)/0.065</f>
        <v>351909.96578785242</v>
      </c>
    </row>
    <row r="22" spans="2:6" ht="19.5" customHeight="1" x14ac:dyDescent="0.2">
      <c r="B22" s="18" t="s">
        <v>175</v>
      </c>
      <c r="C22" s="41">
        <v>1450000</v>
      </c>
      <c r="D22" s="42" t="s">
        <v>170</v>
      </c>
      <c r="E22" s="43" t="str">
        <f>B9</f>
        <v>Years to James Retirement</v>
      </c>
      <c r="F22" s="25">
        <f>C22*(1+0.065)^8+128000*((1+0.065)^8-1)/0.065</f>
        <v>3689581.352989113</v>
      </c>
    </row>
    <row r="23" spans="2:6" ht="21.75" customHeight="1" x14ac:dyDescent="0.2">
      <c r="B23" s="21" t="s">
        <v>176</v>
      </c>
      <c r="C23" s="22">
        <f>SUM(F18:F22)</f>
        <v>7410041.02190727</v>
      </c>
      <c r="D23" s="23"/>
      <c r="E23" s="23"/>
      <c r="F23" s="23"/>
    </row>
    <row r="24" spans="2:6" ht="7.5" customHeight="1" x14ac:dyDescent="0.2"/>
    <row r="25" spans="2:6" ht="19.5" customHeight="1" x14ac:dyDescent="0.2">
      <c r="B25" s="9" t="s">
        <v>177</v>
      </c>
      <c r="C25" s="9"/>
      <c r="D25" s="9"/>
      <c r="E25" s="9"/>
    </row>
    <row r="26" spans="2:6" ht="19.5" customHeight="1" x14ac:dyDescent="0.2">
      <c r="B26" s="14" t="s">
        <v>80</v>
      </c>
      <c r="C26" s="14" t="s">
        <v>178</v>
      </c>
      <c r="D26" s="14" t="s">
        <v>179</v>
      </c>
      <c r="E26" s="14" t="s">
        <v>180</v>
      </c>
      <c r="F26" s="14" t="s">
        <v>38</v>
      </c>
    </row>
    <row r="27" spans="2:6" ht="19.5" customHeight="1" x14ac:dyDescent="0.2">
      <c r="B27" s="15" t="s">
        <v>181</v>
      </c>
      <c r="C27" s="16">
        <f>F18*0.04</f>
        <v>61234.839837744963</v>
      </c>
      <c r="D27" s="15" t="s">
        <v>182</v>
      </c>
      <c r="E27" s="44">
        <f t="shared" ref="E27:E34" si="0">C27/426441</f>
        <v>0.14359510421780494</v>
      </c>
      <c r="F27" s="17" t="s">
        <v>183</v>
      </c>
    </row>
    <row r="28" spans="2:6" ht="19.5" customHeight="1" x14ac:dyDescent="0.2">
      <c r="B28" s="18" t="s">
        <v>184</v>
      </c>
      <c r="C28" s="19">
        <f>F19*0.04</f>
        <v>64396.644921774241</v>
      </c>
      <c r="D28" s="18" t="s">
        <v>182</v>
      </c>
      <c r="E28" s="45">
        <f t="shared" si="0"/>
        <v>0.15100950640715655</v>
      </c>
      <c r="F28" s="20"/>
    </row>
    <row r="29" spans="2:6" ht="19.5" customHeight="1" x14ac:dyDescent="0.2">
      <c r="B29" s="15" t="s">
        <v>185</v>
      </c>
      <c r="C29" s="16">
        <v>110000</v>
      </c>
      <c r="D29" s="15" t="s">
        <v>182</v>
      </c>
      <c r="E29" s="44">
        <f t="shared" si="0"/>
        <v>0.25794893080168185</v>
      </c>
      <c r="F29" s="17" t="s">
        <v>186</v>
      </c>
    </row>
    <row r="30" spans="2:6" ht="19.5" customHeight="1" x14ac:dyDescent="0.2">
      <c r="B30" s="18" t="s">
        <v>187</v>
      </c>
      <c r="C30" s="19">
        <v>28872</v>
      </c>
      <c r="D30" s="18" t="s">
        <v>188</v>
      </c>
      <c r="E30" s="45">
        <f t="shared" si="0"/>
        <v>6.770455936460143E-2</v>
      </c>
      <c r="F30" s="20" t="s">
        <v>189</v>
      </c>
    </row>
    <row r="31" spans="2:6" ht="19.5" customHeight="1" x14ac:dyDescent="0.2">
      <c r="B31" s="15" t="s">
        <v>190</v>
      </c>
      <c r="C31" s="16">
        <v>16752</v>
      </c>
      <c r="D31" s="15" t="s">
        <v>182</v>
      </c>
      <c r="E31" s="44">
        <f t="shared" si="0"/>
        <v>3.9283277170816124E-2</v>
      </c>
      <c r="F31" s="17" t="s">
        <v>191</v>
      </c>
    </row>
    <row r="32" spans="2:6" ht="19.5" customHeight="1" x14ac:dyDescent="0.2">
      <c r="B32" s="18" t="s">
        <v>192</v>
      </c>
      <c r="C32" s="19">
        <f>F22*0.035</f>
        <v>129135.34735461896</v>
      </c>
      <c r="D32" s="18" t="s">
        <v>193</v>
      </c>
      <c r="E32" s="45">
        <f t="shared" si="0"/>
        <v>0.30282113435297958</v>
      </c>
      <c r="F32" s="20" t="s">
        <v>194</v>
      </c>
    </row>
    <row r="33" spans="2:6" ht="19.5" customHeight="1" x14ac:dyDescent="0.2">
      <c r="B33" s="15" t="s">
        <v>195</v>
      </c>
      <c r="C33" s="16">
        <v>30000</v>
      </c>
      <c r="D33" s="15" t="s">
        <v>196</v>
      </c>
      <c r="E33" s="44">
        <f t="shared" si="0"/>
        <v>7.0349708400458677E-2</v>
      </c>
      <c r="F33" s="17" t="s">
        <v>197</v>
      </c>
    </row>
    <row r="34" spans="2:6" ht="19.5" customHeight="1" x14ac:dyDescent="0.2">
      <c r="B34" s="18" t="s">
        <v>198</v>
      </c>
      <c r="C34" s="19">
        <v>60000</v>
      </c>
      <c r="D34" s="18" t="s">
        <v>199</v>
      </c>
      <c r="E34" s="45">
        <f t="shared" si="0"/>
        <v>0.14069941680091735</v>
      </c>
      <c r="F34" s="20" t="s">
        <v>200</v>
      </c>
    </row>
    <row r="35" spans="2:6" ht="21.75" customHeight="1" x14ac:dyDescent="0.2">
      <c r="B35" s="21" t="s">
        <v>201</v>
      </c>
      <c r="C35" s="22">
        <f>SUM(C27:C34)</f>
        <v>500390.83211413817</v>
      </c>
      <c r="D35" s="23"/>
      <c r="E35" s="23"/>
      <c r="F35" s="23"/>
    </row>
    <row r="36" spans="2:6" ht="21.75" customHeight="1" x14ac:dyDescent="0.2">
      <c r="B36" s="24" t="s">
        <v>202</v>
      </c>
      <c r="C36" s="25">
        <f>C35-426441</f>
        <v>73949.832114138175</v>
      </c>
      <c r="D36" s="46"/>
      <c r="E36" s="47">
        <f>C35/426441</f>
        <v>1.1734116375164165</v>
      </c>
      <c r="F36" s="33" t="s">
        <v>203</v>
      </c>
    </row>
  </sheetData>
  <mergeCells count="4">
    <mergeCell ref="B1:E1"/>
    <mergeCell ref="B3:E3"/>
    <mergeCell ref="B16:E16"/>
    <mergeCell ref="B25:E2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30"/>
  <sheetViews>
    <sheetView showGridLines="0" zoomScaleNormal="100" workbookViewId="0"/>
  </sheetViews>
  <sheetFormatPr baseColWidth="10" defaultColWidth="8.6640625" defaultRowHeight="15" x14ac:dyDescent="0.2"/>
  <cols>
    <col min="1" max="1" width="3" customWidth="1"/>
    <col min="2" max="2" width="31.33203125" bestFit="1" customWidth="1"/>
    <col min="3" max="3" width="8.6640625" bestFit="1" customWidth="1"/>
    <col min="4" max="4" width="8" bestFit="1" customWidth="1"/>
    <col min="5" max="5" width="8.6640625" bestFit="1" customWidth="1"/>
    <col min="6" max="6" width="32.83203125" bestFit="1" customWidth="1"/>
    <col min="7" max="7" width="3" customWidth="1"/>
  </cols>
  <sheetData>
    <row r="1" spans="2:6" ht="27.75" customHeight="1" x14ac:dyDescent="0.2">
      <c r="B1" s="3" t="s">
        <v>204</v>
      </c>
      <c r="C1" s="3"/>
      <c r="D1" s="3"/>
      <c r="E1" s="3"/>
      <c r="F1" s="3"/>
    </row>
    <row r="2" spans="2:6" ht="7.5" customHeight="1" x14ac:dyDescent="0.2"/>
    <row r="3" spans="2:6" ht="19.5" customHeight="1" x14ac:dyDescent="0.2">
      <c r="B3" s="9" t="s">
        <v>205</v>
      </c>
      <c r="C3" s="9"/>
      <c r="D3" s="9"/>
      <c r="E3" s="9"/>
      <c r="F3" s="9"/>
    </row>
    <row r="4" spans="2:6" ht="19.5" customHeight="1" x14ac:dyDescent="0.2">
      <c r="B4" s="14" t="s">
        <v>206</v>
      </c>
      <c r="C4" s="14" t="s">
        <v>135</v>
      </c>
      <c r="D4" s="14" t="s">
        <v>136</v>
      </c>
      <c r="E4" s="14" t="s">
        <v>38</v>
      </c>
    </row>
    <row r="5" spans="2:6" ht="19.5" customHeight="1" x14ac:dyDescent="0.2">
      <c r="B5" s="15" t="s">
        <v>207</v>
      </c>
      <c r="C5" s="40">
        <v>0.05</v>
      </c>
      <c r="D5" s="39" t="s">
        <v>138</v>
      </c>
      <c r="E5" s="2" t="s">
        <v>208</v>
      </c>
      <c r="F5" s="2"/>
    </row>
    <row r="6" spans="2:6" ht="19.5" customHeight="1" x14ac:dyDescent="0.2">
      <c r="B6" s="18" t="s">
        <v>209</v>
      </c>
      <c r="C6" s="38">
        <v>1</v>
      </c>
      <c r="D6" s="39" t="s">
        <v>141</v>
      </c>
      <c r="E6" s="1" t="s">
        <v>210</v>
      </c>
      <c r="F6" s="1"/>
    </row>
    <row r="7" spans="2:6" ht="19.5" customHeight="1" x14ac:dyDescent="0.2">
      <c r="B7" s="15" t="s">
        <v>211</v>
      </c>
      <c r="C7" s="38">
        <v>2</v>
      </c>
      <c r="D7" s="39" t="s">
        <v>143</v>
      </c>
      <c r="E7" s="2" t="s">
        <v>212</v>
      </c>
      <c r="F7" s="2"/>
    </row>
    <row r="8" spans="2:6" ht="19.5" customHeight="1" x14ac:dyDescent="0.2">
      <c r="B8" s="18" t="s">
        <v>213</v>
      </c>
      <c r="C8" s="40">
        <v>5.5E-2</v>
      </c>
      <c r="D8" s="39" t="s">
        <v>146</v>
      </c>
      <c r="E8" s="1" t="s">
        <v>214</v>
      </c>
      <c r="F8" s="1"/>
    </row>
    <row r="9" spans="2:6" ht="19.5" customHeight="1" x14ac:dyDescent="0.2">
      <c r="B9" s="15" t="s">
        <v>215</v>
      </c>
      <c r="C9" s="38">
        <v>80000</v>
      </c>
      <c r="D9" s="39" t="s">
        <v>149</v>
      </c>
      <c r="E9" s="2" t="s">
        <v>216</v>
      </c>
      <c r="F9" s="2"/>
    </row>
    <row r="10" spans="2:6" ht="19.5" customHeight="1" x14ac:dyDescent="0.2">
      <c r="B10" s="18" t="s">
        <v>217</v>
      </c>
      <c r="C10" s="38">
        <v>68000</v>
      </c>
      <c r="D10" s="39" t="s">
        <v>152</v>
      </c>
      <c r="E10" s="1" t="s">
        <v>218</v>
      </c>
      <c r="F10" s="1"/>
    </row>
    <row r="11" spans="2:6" ht="19.5" customHeight="1" x14ac:dyDescent="0.2">
      <c r="B11" s="15" t="s">
        <v>219</v>
      </c>
      <c r="C11" s="38">
        <v>1000</v>
      </c>
      <c r="D11" s="39" t="s">
        <v>155</v>
      </c>
      <c r="E11" s="2" t="s">
        <v>220</v>
      </c>
      <c r="F11" s="2"/>
    </row>
    <row r="12" spans="2:6" ht="7.5" customHeight="1" x14ac:dyDescent="0.2"/>
    <row r="13" spans="2:6" ht="19.5" customHeight="1" x14ac:dyDescent="0.2">
      <c r="B13" s="9" t="s">
        <v>221</v>
      </c>
      <c r="C13" s="9"/>
      <c r="D13" s="9"/>
      <c r="E13" s="9"/>
      <c r="F13" s="9"/>
    </row>
    <row r="14" spans="2:6" ht="19.5" customHeight="1" x14ac:dyDescent="0.2">
      <c r="B14" s="14" t="s">
        <v>222</v>
      </c>
      <c r="C14" s="14" t="s">
        <v>223</v>
      </c>
      <c r="D14" s="14" t="s">
        <v>224</v>
      </c>
      <c r="E14" s="14" t="s">
        <v>225</v>
      </c>
      <c r="F14" s="14" t="s">
        <v>226</v>
      </c>
    </row>
    <row r="15" spans="2:6" ht="19.5" customHeight="1" x14ac:dyDescent="0.2">
      <c r="B15" s="15" t="s">
        <v>227</v>
      </c>
      <c r="C15" s="41">
        <v>28000</v>
      </c>
      <c r="D15" s="16">
        <f>C15*(1+0.05)^1</f>
        <v>29400</v>
      </c>
      <c r="E15" s="16">
        <f>C15*(1+0.05)^2</f>
        <v>30870</v>
      </c>
      <c r="F15" s="16">
        <f>C15*(1+0.05)^3</f>
        <v>32413.500000000004</v>
      </c>
    </row>
    <row r="16" spans="2:6" ht="19.5" customHeight="1" x14ac:dyDescent="0.2">
      <c r="B16" s="18" t="s">
        <v>228</v>
      </c>
      <c r="C16" s="41">
        <v>18000</v>
      </c>
      <c r="D16" s="19">
        <f>C16*(1+0.025)^1</f>
        <v>18450</v>
      </c>
      <c r="E16" s="19">
        <f>C16*(1+0.025)^2</f>
        <v>18911.25</v>
      </c>
      <c r="F16" s="19">
        <f>C16*(1+0.025)^3</f>
        <v>19384.031249999996</v>
      </c>
    </row>
    <row r="17" spans="2:6" ht="19.5" customHeight="1" x14ac:dyDescent="0.2">
      <c r="B17" s="15" t="s">
        <v>229</v>
      </c>
      <c r="C17" s="41">
        <v>2500</v>
      </c>
      <c r="D17" s="16">
        <f>C17*(1+0.02)^1</f>
        <v>2550</v>
      </c>
      <c r="E17" s="16">
        <f>C17*(1+0.02)^2</f>
        <v>2601</v>
      </c>
      <c r="F17" s="16">
        <f>C17*(1+0.02)^3</f>
        <v>2653.02</v>
      </c>
    </row>
    <row r="18" spans="2:6" ht="19.5" customHeight="1" x14ac:dyDescent="0.2">
      <c r="B18" s="14" t="s">
        <v>230</v>
      </c>
      <c r="C18" s="14" t="s">
        <v>223</v>
      </c>
      <c r="D18" s="14" t="s">
        <v>224</v>
      </c>
      <c r="E18" s="14" t="s">
        <v>225</v>
      </c>
      <c r="F18" s="14" t="s">
        <v>226</v>
      </c>
    </row>
    <row r="19" spans="2:6" ht="21.75" customHeight="1" x14ac:dyDescent="0.2">
      <c r="B19" s="24" t="s">
        <v>231</v>
      </c>
      <c r="C19" s="25">
        <f>SUM(C15:C17)</f>
        <v>48500</v>
      </c>
      <c r="D19" s="25">
        <f>SUM(D15:D17)</f>
        <v>50400</v>
      </c>
      <c r="E19" s="25">
        <f>SUM(E15:E17)</f>
        <v>52382.25</v>
      </c>
      <c r="F19" s="25">
        <f>SUM(F15:F17)</f>
        <v>54450.551249999997</v>
      </c>
    </row>
    <row r="20" spans="2:6" ht="19.5" customHeight="1" x14ac:dyDescent="0.2">
      <c r="B20" s="37" t="s">
        <v>232</v>
      </c>
      <c r="C20" s="48">
        <v>20000</v>
      </c>
      <c r="D20" s="48">
        <v>20000</v>
      </c>
      <c r="E20" s="48">
        <v>20000</v>
      </c>
      <c r="F20" s="48">
        <v>20000</v>
      </c>
    </row>
    <row r="21" spans="2:6" ht="21.75" customHeight="1" x14ac:dyDescent="0.2">
      <c r="B21" s="49" t="s">
        <v>233</v>
      </c>
      <c r="C21" s="50">
        <f>C19-C20</f>
        <v>28500</v>
      </c>
      <c r="D21" s="50">
        <f>D19-D20</f>
        <v>30400</v>
      </c>
      <c r="E21" s="50">
        <f>E19-E20</f>
        <v>32382.25</v>
      </c>
      <c r="F21" s="50">
        <f>F19-F20</f>
        <v>34450.551249999997</v>
      </c>
    </row>
    <row r="22" spans="2:6" ht="7.5" customHeight="1" x14ac:dyDescent="0.2"/>
    <row r="23" spans="2:6" ht="19.5" customHeight="1" x14ac:dyDescent="0.2">
      <c r="B23" s="9" t="s">
        <v>234</v>
      </c>
      <c r="C23" s="9"/>
      <c r="D23" s="9"/>
      <c r="E23" s="9"/>
      <c r="F23" s="9"/>
    </row>
    <row r="24" spans="2:6" ht="19.5" customHeight="1" x14ac:dyDescent="0.2">
      <c r="B24" s="14" t="s">
        <v>235</v>
      </c>
      <c r="C24" s="14" t="s">
        <v>236</v>
      </c>
      <c r="D24" s="14" t="s">
        <v>237</v>
      </c>
      <c r="E24" s="14" t="s">
        <v>238</v>
      </c>
      <c r="F24" s="14" t="s">
        <v>38</v>
      </c>
    </row>
    <row r="25" spans="2:6" ht="19.5" customHeight="1" x14ac:dyDescent="0.2">
      <c r="B25" s="15" t="s">
        <v>239</v>
      </c>
      <c r="C25" s="19">
        <v>80000</v>
      </c>
      <c r="D25" s="16">
        <v>68000</v>
      </c>
      <c r="E25" s="19">
        <f>C25+D25</f>
        <v>148000</v>
      </c>
      <c r="F25" s="15" t="s">
        <v>240</v>
      </c>
    </row>
    <row r="26" spans="2:6" ht="19.5" customHeight="1" x14ac:dyDescent="0.2">
      <c r="B26" s="18" t="s">
        <v>241</v>
      </c>
      <c r="C26" s="16">
        <f>C25*(1+0.055)^1</f>
        <v>84400</v>
      </c>
      <c r="D26" s="19">
        <f>D25*(1+0.055)^2</f>
        <v>75685.7</v>
      </c>
      <c r="E26" s="16">
        <f>C26+D26</f>
        <v>160085.70000000001</v>
      </c>
      <c r="F26" s="18" t="s">
        <v>242</v>
      </c>
    </row>
    <row r="27" spans="2:6" ht="19.5" customHeight="1" x14ac:dyDescent="0.2">
      <c r="B27" s="15" t="s">
        <v>243</v>
      </c>
      <c r="C27" s="19">
        <v>2000</v>
      </c>
      <c r="D27" s="16">
        <v>2000</v>
      </c>
      <c r="E27" s="19">
        <f>C27+D27</f>
        <v>4000</v>
      </c>
      <c r="F27" s="15" t="s">
        <v>244</v>
      </c>
    </row>
    <row r="28" spans="2:6" ht="19.5" customHeight="1" x14ac:dyDescent="0.2">
      <c r="B28" s="18" t="s">
        <v>245</v>
      </c>
      <c r="C28" s="16">
        <f>C26+C27</f>
        <v>86400</v>
      </c>
      <c r="D28" s="19">
        <f>D26+D27</f>
        <v>77685.7</v>
      </c>
      <c r="E28" s="16">
        <f>C28+D28</f>
        <v>164085.70000000001</v>
      </c>
      <c r="F28" s="18"/>
    </row>
    <row r="29" spans="2:6" ht="19.5" customHeight="1" x14ac:dyDescent="0.2">
      <c r="B29" s="15" t="s">
        <v>246</v>
      </c>
      <c r="C29" s="16">
        <f>C19+D19+E19+F19</f>
        <v>205732.80124999999</v>
      </c>
      <c r="D29" s="16"/>
      <c r="E29" s="16"/>
      <c r="F29" s="15" t="s">
        <v>247</v>
      </c>
    </row>
    <row r="30" spans="2:6" ht="19.5" customHeight="1" x14ac:dyDescent="0.2">
      <c r="B30" s="18" t="s">
        <v>248</v>
      </c>
      <c r="C30" s="16">
        <f>C29-C28</f>
        <v>119332.80124999999</v>
      </c>
      <c r="D30" s="19"/>
      <c r="E30" s="19"/>
      <c r="F30" s="18" t="s">
        <v>249</v>
      </c>
    </row>
  </sheetData>
  <mergeCells count="11">
    <mergeCell ref="B23:F23"/>
    <mergeCell ref="E8:F8"/>
    <mergeCell ref="E9:F9"/>
    <mergeCell ref="E10:F10"/>
    <mergeCell ref="E11:F11"/>
    <mergeCell ref="B13:F13"/>
    <mergeCell ref="B1:F1"/>
    <mergeCell ref="B3:F3"/>
    <mergeCell ref="E5:F5"/>
    <mergeCell ref="E6:F6"/>
    <mergeCell ref="E7:F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D21"/>
  <sheetViews>
    <sheetView showGridLines="0" zoomScaleNormal="100" workbookViewId="0">
      <selection activeCell="F17" sqref="F17"/>
    </sheetView>
  </sheetViews>
  <sheetFormatPr baseColWidth="10" defaultColWidth="8.6640625" defaultRowHeight="15" x14ac:dyDescent="0.2"/>
  <cols>
    <col min="1" max="1" width="3" customWidth="1"/>
    <col min="2" max="2" width="40.33203125" bestFit="1" customWidth="1"/>
    <col min="3" max="3" width="8.6640625" bestFit="1" customWidth="1"/>
    <col min="4" max="4" width="38.5" bestFit="1" customWidth="1"/>
    <col min="5" max="5" width="3" customWidth="1"/>
  </cols>
  <sheetData>
    <row r="1" spans="2:4" ht="27.75" customHeight="1" x14ac:dyDescent="0.2">
      <c r="B1" s="3" t="s">
        <v>250</v>
      </c>
      <c r="C1" s="3"/>
      <c r="D1" s="3"/>
    </row>
    <row r="2" spans="2:4" ht="7.5" customHeight="1" x14ac:dyDescent="0.2"/>
    <row r="3" spans="2:4" ht="19.5" customHeight="1" x14ac:dyDescent="0.2">
      <c r="B3" s="9" t="s">
        <v>251</v>
      </c>
      <c r="C3" s="9"/>
      <c r="D3" s="9"/>
    </row>
    <row r="4" spans="2:4" ht="19.5" customHeight="1" x14ac:dyDescent="0.2">
      <c r="B4" s="14" t="s">
        <v>252</v>
      </c>
      <c r="C4" s="14" t="s">
        <v>253</v>
      </c>
      <c r="D4" s="14" t="s">
        <v>254</v>
      </c>
    </row>
    <row r="5" spans="2:4" ht="19.5" customHeight="1" x14ac:dyDescent="0.2">
      <c r="B5" s="15" t="s">
        <v>255</v>
      </c>
      <c r="C5" s="41">
        <v>800000</v>
      </c>
      <c r="D5" s="41">
        <v>620000</v>
      </c>
    </row>
    <row r="6" spans="2:4" ht="19.5" customHeight="1" x14ac:dyDescent="0.2">
      <c r="B6" s="18" t="s">
        <v>256</v>
      </c>
      <c r="C6" s="40">
        <v>0.5353</v>
      </c>
      <c r="D6" s="40">
        <v>0.5353</v>
      </c>
    </row>
    <row r="7" spans="2:4" ht="19.5" customHeight="1" x14ac:dyDescent="0.2">
      <c r="B7" s="15" t="s">
        <v>257</v>
      </c>
      <c r="C7" s="40">
        <v>0.38200000000000001</v>
      </c>
      <c r="D7" s="40">
        <v>0.34799999999999998</v>
      </c>
    </row>
    <row r="8" spans="2:4" ht="19.5" customHeight="1" x14ac:dyDescent="0.2">
      <c r="B8" s="18" t="s">
        <v>258</v>
      </c>
      <c r="C8" s="41">
        <v>29000</v>
      </c>
      <c r="D8" s="41">
        <v>27000</v>
      </c>
    </row>
    <row r="9" spans="2:4" ht="19.5" customHeight="1" x14ac:dyDescent="0.2">
      <c r="B9" s="15" t="s">
        <v>259</v>
      </c>
      <c r="C9" s="51">
        <f>C8*C7</f>
        <v>11078</v>
      </c>
      <c r="D9" s="16">
        <f>D8*D7</f>
        <v>9396</v>
      </c>
    </row>
    <row r="10" spans="2:4" ht="19.5" customHeight="1" x14ac:dyDescent="0.2">
      <c r="B10" s="18" t="s">
        <v>260</v>
      </c>
      <c r="C10" s="41">
        <v>7000</v>
      </c>
      <c r="D10" s="41">
        <v>7000</v>
      </c>
    </row>
    <row r="11" spans="2:4" ht="19.5" customHeight="1" x14ac:dyDescent="0.2">
      <c r="B11" s="15" t="s">
        <v>261</v>
      </c>
      <c r="C11" s="51">
        <f>C9+D9</f>
        <v>20474</v>
      </c>
      <c r="D11" s="16"/>
    </row>
    <row r="12" spans="2:4" ht="7.5" customHeight="1" x14ac:dyDescent="0.2"/>
    <row r="13" spans="2:4" ht="19.5" customHeight="1" x14ac:dyDescent="0.2">
      <c r="B13" s="9" t="s">
        <v>262</v>
      </c>
      <c r="C13" s="9"/>
      <c r="D13" s="9"/>
    </row>
    <row r="14" spans="2:4" ht="19.5" customHeight="1" x14ac:dyDescent="0.2">
      <c r="B14" s="14" t="s">
        <v>263</v>
      </c>
      <c r="C14" s="14" t="s">
        <v>264</v>
      </c>
      <c r="D14" s="14" t="s">
        <v>265</v>
      </c>
    </row>
    <row r="15" spans="2:4" ht="37.5" customHeight="1" x14ac:dyDescent="0.2">
      <c r="B15" s="13" t="s">
        <v>266</v>
      </c>
      <c r="C15" s="52" t="s">
        <v>267</v>
      </c>
      <c r="D15" s="17" t="str">
        <f>C8 &amp; " + " &amp; D8 &amp; " = $" &amp; TEXT(C8+D8,"#,##0") &amp; " total contribution"</f>
        <v>29000 + 27000 = $56,000 total contribution</v>
      </c>
    </row>
    <row r="16" spans="2:4" ht="37.5" customHeight="1" x14ac:dyDescent="0.2">
      <c r="B16" s="12" t="s">
        <v>268</v>
      </c>
      <c r="C16" s="52" t="s">
        <v>267</v>
      </c>
      <c r="D16" s="20" t="s">
        <v>269</v>
      </c>
    </row>
    <row r="17" spans="2:4" ht="37.5" customHeight="1" x14ac:dyDescent="0.2">
      <c r="B17" s="13" t="s">
        <v>270</v>
      </c>
      <c r="C17" s="52" t="s">
        <v>267</v>
      </c>
      <c r="D17" s="17" t="s">
        <v>271</v>
      </c>
    </row>
    <row r="18" spans="2:4" ht="37.5" customHeight="1" x14ac:dyDescent="0.2">
      <c r="B18" s="12" t="s">
        <v>272</v>
      </c>
      <c r="C18" s="52" t="s">
        <v>267</v>
      </c>
      <c r="D18" s="20" t="s">
        <v>273</v>
      </c>
    </row>
    <row r="19" spans="2:4" ht="37.5" customHeight="1" x14ac:dyDescent="0.2">
      <c r="B19" s="13" t="s">
        <v>274</v>
      </c>
      <c r="C19" s="52" t="s">
        <v>267</v>
      </c>
      <c r="D19" s="17" t="s">
        <v>275</v>
      </c>
    </row>
    <row r="20" spans="2:4" ht="37.5" customHeight="1" x14ac:dyDescent="0.2">
      <c r="B20" s="12" t="s">
        <v>276</v>
      </c>
      <c r="C20" s="53" t="s">
        <v>277</v>
      </c>
      <c r="D20" s="20" t="s">
        <v>278</v>
      </c>
    </row>
    <row r="21" spans="2:4" ht="37.5" customHeight="1" x14ac:dyDescent="0.2">
      <c r="B21" s="13" t="s">
        <v>279</v>
      </c>
      <c r="C21" s="53" t="s">
        <v>277</v>
      </c>
      <c r="D21" s="17" t="s">
        <v>280</v>
      </c>
    </row>
  </sheetData>
  <mergeCells count="3">
    <mergeCell ref="B1:D1"/>
    <mergeCell ref="B3:D3"/>
    <mergeCell ref="B13:D1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D30"/>
  <sheetViews>
    <sheetView showGridLines="0" tabSelected="1" zoomScaleNormal="100" workbookViewId="0">
      <selection activeCell="C22" sqref="C22"/>
    </sheetView>
  </sheetViews>
  <sheetFormatPr baseColWidth="10" defaultColWidth="8.6640625" defaultRowHeight="15" x14ac:dyDescent="0.2"/>
  <cols>
    <col min="1" max="1" width="3" customWidth="1"/>
    <col min="2" max="2" width="55.6640625" bestFit="1" customWidth="1"/>
    <col min="3" max="3" width="14.1640625" bestFit="1" customWidth="1"/>
    <col min="4" max="4" width="39.33203125" bestFit="1" customWidth="1"/>
    <col min="5" max="5" width="3" customWidth="1"/>
  </cols>
  <sheetData>
    <row r="1" spans="2:4" ht="27.75" customHeight="1" x14ac:dyDescent="0.2">
      <c r="B1" s="3" t="s">
        <v>281</v>
      </c>
      <c r="C1" s="3"/>
      <c r="D1" s="3"/>
    </row>
    <row r="2" spans="2:4" ht="7.5" customHeight="1" x14ac:dyDescent="0.2"/>
    <row r="3" spans="2:4" ht="19.5" customHeight="1" x14ac:dyDescent="0.2">
      <c r="B3" s="9" t="s">
        <v>282</v>
      </c>
      <c r="C3" s="9"/>
      <c r="D3" s="9"/>
    </row>
    <row r="4" spans="2:4" ht="19.5" customHeight="1" x14ac:dyDescent="0.2">
      <c r="B4" s="14" t="s">
        <v>283</v>
      </c>
      <c r="C4" s="14" t="s">
        <v>284</v>
      </c>
      <c r="D4" s="14" t="s">
        <v>285</v>
      </c>
    </row>
    <row r="5" spans="2:4" ht="24" customHeight="1" x14ac:dyDescent="0.2">
      <c r="B5" s="15" t="s">
        <v>286</v>
      </c>
      <c r="C5" s="16">
        <f>NetWorthStatement!C5-NetWorthStatement!C19</f>
        <v>2850000</v>
      </c>
      <c r="D5" s="17" t="s">
        <v>287</v>
      </c>
    </row>
    <row r="6" spans="2:4" ht="24" customHeight="1" x14ac:dyDescent="0.2">
      <c r="B6" s="18" t="s">
        <v>288</v>
      </c>
      <c r="C6" s="19">
        <f>NetWorthStatement!C6</f>
        <v>680000</v>
      </c>
      <c r="D6" s="20" t="s">
        <v>289</v>
      </c>
    </row>
    <row r="7" spans="2:4" ht="24" customHeight="1" x14ac:dyDescent="0.2">
      <c r="B7" s="15" t="s">
        <v>290</v>
      </c>
      <c r="C7" s="16">
        <v>925000</v>
      </c>
      <c r="D7" s="17" t="s">
        <v>291</v>
      </c>
    </row>
    <row r="8" spans="2:4" ht="24" customHeight="1" x14ac:dyDescent="0.2">
      <c r="B8" s="18" t="s">
        <v>292</v>
      </c>
      <c r="C8" s="19">
        <v>710000</v>
      </c>
      <c r="D8" s="20" t="s">
        <v>291</v>
      </c>
    </row>
    <row r="9" spans="2:4" ht="24" customHeight="1" x14ac:dyDescent="0.2">
      <c r="B9" s="15" t="s">
        <v>293</v>
      </c>
      <c r="C9" s="16">
        <v>190000</v>
      </c>
      <c r="D9" s="17" t="s">
        <v>294</v>
      </c>
    </row>
    <row r="10" spans="2:4" ht="24" customHeight="1" x14ac:dyDescent="0.2">
      <c r="B10" s="18" t="s">
        <v>295</v>
      </c>
      <c r="C10" s="19">
        <f>NetWorthStatement!C11</f>
        <v>1450000</v>
      </c>
      <c r="D10" s="20" t="s">
        <v>296</v>
      </c>
    </row>
    <row r="11" spans="2:4" ht="24" customHeight="1" x14ac:dyDescent="0.2">
      <c r="B11" s="15" t="s">
        <v>55</v>
      </c>
      <c r="C11" s="16">
        <f>NetWorthStatement!C14</f>
        <v>880000</v>
      </c>
      <c r="D11" s="17" t="s">
        <v>297</v>
      </c>
    </row>
    <row r="12" spans="2:4" ht="24" customHeight="1" x14ac:dyDescent="0.2">
      <c r="B12" s="18" t="s">
        <v>298</v>
      </c>
      <c r="C12" s="19">
        <v>2000000</v>
      </c>
      <c r="D12" s="20" t="s">
        <v>299</v>
      </c>
    </row>
    <row r="13" spans="2:4" ht="24" customHeight="1" x14ac:dyDescent="0.2">
      <c r="B13" s="15" t="s">
        <v>300</v>
      </c>
      <c r="C13" s="16">
        <f>NetWorthStatement!C16</f>
        <v>220000</v>
      </c>
      <c r="D13" s="17" t="s">
        <v>301</v>
      </c>
    </row>
    <row r="14" spans="2:4" ht="21.75" customHeight="1" x14ac:dyDescent="0.2">
      <c r="B14" s="21" t="s">
        <v>302</v>
      </c>
      <c r="C14" s="22">
        <f>SUM(C5:C13)</f>
        <v>9905000</v>
      </c>
      <c r="D14" s="23"/>
    </row>
    <row r="15" spans="2:4" ht="7.5" customHeight="1" x14ac:dyDescent="0.2"/>
    <row r="16" spans="2:4" ht="19.5" customHeight="1" x14ac:dyDescent="0.2">
      <c r="B16" s="9" t="s">
        <v>303</v>
      </c>
      <c r="C16" s="9"/>
      <c r="D16" s="9"/>
    </row>
    <row r="17" spans="2:4" ht="19.5" customHeight="1" x14ac:dyDescent="0.2">
      <c r="B17" s="14" t="s">
        <v>304</v>
      </c>
      <c r="C17" s="14" t="s">
        <v>305</v>
      </c>
      <c r="D17" s="14" t="s">
        <v>38</v>
      </c>
    </row>
    <row r="18" spans="2:4" ht="24" customHeight="1" x14ac:dyDescent="0.2">
      <c r="B18" s="18" t="s">
        <v>306</v>
      </c>
      <c r="C18" s="19">
        <f>((C14-50000)*0.015)+250</f>
        <v>148075</v>
      </c>
      <c r="D18" s="20" t="s">
        <v>307</v>
      </c>
    </row>
    <row r="19" spans="2:4" ht="24" customHeight="1" x14ac:dyDescent="0.2">
      <c r="B19" s="15" t="s">
        <v>308</v>
      </c>
      <c r="C19" s="16">
        <f>(925000+710000)*0.5353</f>
        <v>875215.5</v>
      </c>
      <c r="D19" s="17" t="s">
        <v>309</v>
      </c>
    </row>
    <row r="20" spans="2:4" ht="24" customHeight="1" x14ac:dyDescent="0.2">
      <c r="B20" s="18" t="s">
        <v>310</v>
      </c>
      <c r="C20" s="19">
        <f>NetWorthStatement!C11*0.5*0.5353</f>
        <v>388092.5</v>
      </c>
      <c r="D20" s="20" t="s">
        <v>311</v>
      </c>
    </row>
    <row r="21" spans="2:4" ht="24" customHeight="1" x14ac:dyDescent="0.2">
      <c r="B21" s="15" t="s">
        <v>312</v>
      </c>
      <c r="C21" s="16">
        <f>-2000000</f>
        <v>-2000000</v>
      </c>
      <c r="D21" s="17" t="s">
        <v>313</v>
      </c>
    </row>
    <row r="22" spans="2:4" ht="25" customHeight="1" x14ac:dyDescent="0.2">
      <c r="B22" s="30" t="s">
        <v>314</v>
      </c>
      <c r="C22" s="31">
        <f>SUM(C18:C21)</f>
        <v>-588617</v>
      </c>
      <c r="D22" s="54" t="s">
        <v>315</v>
      </c>
    </row>
    <row r="23" spans="2:4" ht="19.5" customHeight="1" x14ac:dyDescent="0.2">
      <c r="B23" s="9" t="s">
        <v>316</v>
      </c>
      <c r="C23" s="9"/>
      <c r="D23" s="9"/>
    </row>
    <row r="24" spans="2:4" ht="19.5" customHeight="1" x14ac:dyDescent="0.2">
      <c r="B24" s="14" t="s">
        <v>317</v>
      </c>
      <c r="C24" s="14" t="s">
        <v>264</v>
      </c>
      <c r="D24" s="14" t="s">
        <v>265</v>
      </c>
    </row>
    <row r="25" spans="2:4" ht="37.5" customHeight="1" x14ac:dyDescent="0.2">
      <c r="B25" s="13" t="s">
        <v>318</v>
      </c>
      <c r="C25" s="55" t="s">
        <v>319</v>
      </c>
      <c r="D25" s="17" t="s">
        <v>320</v>
      </c>
    </row>
    <row r="26" spans="2:4" ht="37.5" customHeight="1" x14ac:dyDescent="0.2">
      <c r="B26" s="12" t="s">
        <v>321</v>
      </c>
      <c r="C26" s="55" t="s">
        <v>319</v>
      </c>
      <c r="D26" s="20" t="s">
        <v>322</v>
      </c>
    </row>
    <row r="27" spans="2:4" ht="37.5" customHeight="1" x14ac:dyDescent="0.2">
      <c r="B27" s="13" t="s">
        <v>323</v>
      </c>
      <c r="C27" s="52" t="s">
        <v>267</v>
      </c>
      <c r="D27" s="17" t="s">
        <v>324</v>
      </c>
    </row>
    <row r="28" spans="2:4" ht="37.5" customHeight="1" x14ac:dyDescent="0.2">
      <c r="B28" s="12" t="s">
        <v>325</v>
      </c>
      <c r="C28" s="52" t="s">
        <v>267</v>
      </c>
      <c r="D28" s="20" t="s">
        <v>326</v>
      </c>
    </row>
    <row r="29" spans="2:4" ht="37.5" customHeight="1" x14ac:dyDescent="0.2">
      <c r="B29" s="13" t="s">
        <v>327</v>
      </c>
      <c r="C29" s="53" t="s">
        <v>277</v>
      </c>
      <c r="D29" s="17" t="s">
        <v>328</v>
      </c>
    </row>
    <row r="30" spans="2:4" ht="37.5" customHeight="1" x14ac:dyDescent="0.2">
      <c r="B30" s="12" t="s">
        <v>329</v>
      </c>
      <c r="C30" s="52" t="s">
        <v>267</v>
      </c>
      <c r="D30" s="20" t="s">
        <v>330</v>
      </c>
    </row>
  </sheetData>
  <mergeCells count="4">
    <mergeCell ref="B1:D1"/>
    <mergeCell ref="B3:D3"/>
    <mergeCell ref="B16:D16"/>
    <mergeCell ref="B23:D2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Cover</vt:lpstr>
      <vt:lpstr>NetWorthStatement</vt:lpstr>
      <vt:lpstr>CashFlowAnalysis</vt:lpstr>
      <vt:lpstr>RetirementProjections</vt:lpstr>
      <vt:lpstr>EducationFunding</vt:lpstr>
      <vt:lpstr>TaxOptimization</vt:lpstr>
      <vt:lpstr>EstatePlanSummary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vatsal chavda</cp:lastModifiedBy>
  <cp:revision>0</cp:revision>
  <dcterms:created xsi:type="dcterms:W3CDTF">2026-04-19T20:09:15Z</dcterms:created>
  <dcterms:modified xsi:type="dcterms:W3CDTF">2026-04-19T20:15:29Z</dcterms:modified>
  <dc:language>en-US</dc:language>
</cp:coreProperties>
</file>