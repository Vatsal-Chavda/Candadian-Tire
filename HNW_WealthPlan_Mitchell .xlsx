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vatsalchavda/Desktop/excel12/"/>
    </mc:Choice>
  </mc:AlternateContent>
  <xr:revisionPtr revIDLastSave="0" documentId="8_{135EAA1B-B1D4-5041-90E7-A80E1D4CB77E}" xr6:coauthVersionLast="47" xr6:coauthVersionMax="47" xr10:uidLastSave="{00000000-0000-0000-0000-000000000000}"/>
  <bookViews>
    <workbookView xWindow="0" yWindow="660" windowWidth="29400" windowHeight="18460" tabRatio="500" activeTab="6" xr2:uid="{00000000-000D-0000-FFFF-FFFF00000000}"/>
  </bookViews>
  <sheets>
    <sheet name="Cover" sheetId="1" r:id="rId1"/>
    <sheet name="Assumptions" sheetId="2" r:id="rId2"/>
    <sheet name="Portfolio" sheetId="3" r:id="rId3"/>
    <sheet name="RetirementPlan" sheetId="4" r:id="rId4"/>
    <sheet name="TaxPlan" sheetId="5" r:id="rId5"/>
    <sheet name="EstatePlan" sheetId="6" r:id="rId6"/>
    <sheet name="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7" l="1"/>
  <c r="C20" i="7"/>
  <c r="C19" i="7"/>
  <c r="C18" i="7"/>
  <c r="C11" i="7"/>
  <c r="C8" i="7"/>
  <c r="C7" i="7"/>
  <c r="D18" i="6"/>
  <c r="D16" i="6"/>
  <c r="C12" i="6"/>
  <c r="D11" i="6"/>
  <c r="D10" i="6"/>
  <c r="D9" i="6"/>
  <c r="D8" i="6"/>
  <c r="D7" i="6"/>
  <c r="D6" i="6"/>
  <c r="D5" i="6"/>
  <c r="D12" i="6" s="1"/>
  <c r="C12" i="5"/>
  <c r="C17" i="7" s="1"/>
  <c r="E11" i="4"/>
  <c r="C15" i="4" s="1"/>
  <c r="D11" i="4"/>
  <c r="C11" i="4"/>
  <c r="E10" i="4"/>
  <c r="E9" i="4"/>
  <c r="E8" i="4"/>
  <c r="E7" i="4"/>
  <c r="E6" i="4"/>
  <c r="E5" i="4"/>
  <c r="D26" i="3"/>
  <c r="D25" i="3"/>
  <c r="D24" i="3"/>
  <c r="D23" i="3"/>
  <c r="D22" i="3"/>
  <c r="D21" i="3"/>
  <c r="D20" i="3"/>
  <c r="D19" i="3"/>
  <c r="D18" i="3"/>
  <c r="D17" i="3"/>
  <c r="C17" i="3"/>
  <c r="E13" i="3"/>
  <c r="C13" i="3"/>
  <c r="C5" i="7" s="1"/>
  <c r="D12" i="3"/>
  <c r="F12" i="3" s="1"/>
  <c r="D11" i="3"/>
  <c r="F11" i="3" s="1"/>
  <c r="F10" i="3"/>
  <c r="D10" i="3"/>
  <c r="D9" i="3"/>
  <c r="F9" i="3" s="1"/>
  <c r="D8" i="3"/>
  <c r="F8" i="3" s="1"/>
  <c r="D7" i="3"/>
  <c r="F7" i="3" s="1"/>
  <c r="F6" i="3"/>
  <c r="D6" i="3"/>
  <c r="D5" i="3"/>
  <c r="D13" i="3" s="1"/>
  <c r="C16" i="4" l="1"/>
  <c r="C13" i="7" s="1"/>
  <c r="C17" i="4"/>
  <c r="C14" i="7" s="1"/>
  <c r="C12" i="7"/>
  <c r="C24" i="7"/>
  <c r="D17" i="6"/>
  <c r="D19" i="6" s="1"/>
  <c r="D21" i="6" s="1"/>
  <c r="C25" i="7" s="1"/>
  <c r="C17" i="6"/>
  <c r="C19" i="6" s="1"/>
  <c r="C21" i="6" s="1"/>
  <c r="E17" i="3"/>
  <c r="F17" i="3" s="1"/>
  <c r="C18" i="3" s="1"/>
  <c r="C23" i="7"/>
  <c r="F5" i="3"/>
  <c r="E18" i="3" l="1"/>
  <c r="F18" i="3"/>
  <c r="C19" i="3" s="1"/>
  <c r="E19" i="3" l="1"/>
  <c r="F19" i="3" s="1"/>
  <c r="C20" i="3" s="1"/>
  <c r="E20" i="3" l="1"/>
  <c r="F20" i="3"/>
  <c r="C21" i="3" s="1"/>
  <c r="E21" i="3" l="1"/>
  <c r="F21" i="3" s="1"/>
  <c r="C22" i="3" s="1"/>
  <c r="E22" i="3" l="1"/>
  <c r="F22" i="3"/>
  <c r="C23" i="3" s="1"/>
  <c r="E23" i="3" l="1"/>
  <c r="F23" i="3" s="1"/>
  <c r="C24" i="3" s="1"/>
  <c r="E24" i="3" l="1"/>
  <c r="F24" i="3"/>
  <c r="C25" i="3" s="1"/>
  <c r="E25" i="3" l="1"/>
  <c r="F25" i="3" s="1"/>
  <c r="C26" i="3" s="1"/>
  <c r="E26" i="3" l="1"/>
  <c r="F26" i="3"/>
  <c r="C27" i="3" l="1"/>
  <c r="C6" i="7"/>
</calcChain>
</file>

<file path=xl/sharedStrings.xml><?xml version="1.0" encoding="utf-8"?>
<sst xmlns="http://schemas.openxmlformats.org/spreadsheetml/2006/main" count="200" uniqueCount="184">
  <si>
    <t>HNW CLIENT WEALTH PLAN</t>
  </si>
  <si>
    <t>Robert &amp; Sandra Mitchell  |  Comprehensive Financial Plan  |  April 2025</t>
  </si>
  <si>
    <t>CLIENT OVERVIEW</t>
  </si>
  <si>
    <t>Clients</t>
  </si>
  <si>
    <t>Robert Mitchell (Age 52) &amp; Sandra Mitchell (Age 49)</t>
  </si>
  <si>
    <t>Plan Date</t>
  </si>
  <si>
    <t>April 2025</t>
  </si>
  <si>
    <t>Prepared By</t>
  </si>
  <si>
    <t>Vatsal Chavda, BCom Finance — Seneca Polytechnic</t>
  </si>
  <si>
    <t>Planning Horizon</t>
  </si>
  <si>
    <t>30 Years (to Age 82 / 79)</t>
  </si>
  <si>
    <t>Retirement Target</t>
  </si>
  <si>
    <t>Robert: Age 62  |  Sandra: Age 60</t>
  </si>
  <si>
    <t>Primary Goals</t>
  </si>
  <si>
    <t>Retirement Income, Tax Efficiency, Estate Preservation</t>
  </si>
  <si>
    <t>KEY OUTCOMES</t>
  </si>
  <si>
    <t>Portfolio at Retirement</t>
  </si>
  <si>
    <t>Funding Ratio</t>
  </si>
  <si>
    <t>105.5%</t>
  </si>
  <si>
    <t>Annual Retirement Income</t>
  </si>
  <si>
    <t>$320,000</t>
  </si>
  <si>
    <t>Annual Tax Savings</t>
  </si>
  <si>
    <t>$78,400</t>
  </si>
  <si>
    <t>Net Estate Value (Projected)</t>
  </si>
  <si>
    <t>$14,200,000</t>
  </si>
  <si>
    <t>Estate Coverage Ratio</t>
  </si>
  <si>
    <t>142.0%</t>
  </si>
  <si>
    <t>WORKBOOK CONTENTS</t>
  </si>
  <si>
    <t>Assumptions</t>
  </si>
  <si>
    <t>All client inputs, rates, and planning parameters</t>
  </si>
  <si>
    <t>Portfolio</t>
  </si>
  <si>
    <t>Current allocation and 10-year projected growth</t>
  </si>
  <si>
    <t>Retirement Plan</t>
  </si>
  <si>
    <t>Income sources, CPP/OAS, and adequacy analysis</t>
  </si>
  <si>
    <t>Tax Plan</t>
  </si>
  <si>
    <t>RRSP/TFSA optimization and annual tax savings</t>
  </si>
  <si>
    <t>Estate Plan</t>
  </si>
  <si>
    <t>Net estate value, insurance, and liabilities</t>
  </si>
  <si>
    <t>Summary</t>
  </si>
  <si>
    <t>Consolidated overview and key recommendations</t>
  </si>
  <si>
    <t>ASSUMPTIONS &amp; PLANNING PARAMETERS</t>
  </si>
  <si>
    <t>CLIENT PROFILE</t>
  </si>
  <si>
    <t>TAX &amp; REGISTERED ACCOUNTS</t>
  </si>
  <si>
    <t>Robert — Current Age</t>
  </si>
  <si>
    <t>Robert — Marginal Tax Rate</t>
  </si>
  <si>
    <t>Sandra — Current Age</t>
  </si>
  <si>
    <t>Sandra — Marginal Tax Rate</t>
  </si>
  <si>
    <t>Robert — Retirement Age</t>
  </si>
  <si>
    <t>CPP — Robert (at 65)</t>
  </si>
  <si>
    <t>Sandra — Retirement Age</t>
  </si>
  <si>
    <t>CPP — Sandra (at 65)</t>
  </si>
  <si>
    <t>OAS — Both (at 65)</t>
  </si>
  <si>
    <t>Robert — Current Salary</t>
  </si>
  <si>
    <t>RRSP Balance — Robert</t>
  </si>
  <si>
    <t>Sandra — Current Salary</t>
  </si>
  <si>
    <t>RRSP Balance — Sandra</t>
  </si>
  <si>
    <t>Annual Savings Rate</t>
  </si>
  <si>
    <t>TFSA Balance — Robert</t>
  </si>
  <si>
    <t>TFSA Balance — Sandra</t>
  </si>
  <si>
    <t>Non-Reg. Portfolio</t>
  </si>
  <si>
    <t>PORTFOLIO ASSUMPTIONS</t>
  </si>
  <si>
    <t>Current Portfolio Value</t>
  </si>
  <si>
    <t>Expected Return (Pre-Retirement)</t>
  </si>
  <si>
    <t>ESTATE PARAMETERS</t>
  </si>
  <si>
    <t>Expected Return (Post-Retirement)</t>
  </si>
  <si>
    <t>Primary Residence Value</t>
  </si>
  <si>
    <t>Inflation Rate</t>
  </si>
  <si>
    <t>Life Insurance — Robert</t>
  </si>
  <si>
    <t>Annual RRSP Contribution</t>
  </si>
  <si>
    <t>Life Insurance — Sandra</t>
  </si>
  <si>
    <t>Annual TFSA Contribution</t>
  </si>
  <si>
    <t>Other Real Estate</t>
  </si>
  <si>
    <t>Annual Non-Reg. Contribution</t>
  </si>
  <si>
    <t>Outstanding Liabilities</t>
  </si>
  <si>
    <t>Long-Term Estate Growth Rate</t>
  </si>
  <si>
    <t>PORTFOLIO ALLOCATION &amp; PROJECTED GROWTH</t>
  </si>
  <si>
    <t>CURRENT ASSET ALLOCATION</t>
  </si>
  <si>
    <t>Asset Class</t>
  </si>
  <si>
    <t>Market Value ($)</t>
  </si>
  <si>
    <t>Allocation (%)</t>
  </si>
  <si>
    <t>Target (%)</t>
  </si>
  <si>
    <t>Variance (%)</t>
  </si>
  <si>
    <t>Canadian Equity</t>
  </si>
  <si>
    <t>US Equity</t>
  </si>
  <si>
    <t>International Equity</t>
  </si>
  <si>
    <t>Canadian Fixed Income</t>
  </si>
  <si>
    <t>Global Fixed Income</t>
  </si>
  <si>
    <t>Real Estate (REITs)</t>
  </si>
  <si>
    <t>Cash &amp; Equivalents</t>
  </si>
  <si>
    <t>Alternative Assets</t>
  </si>
  <si>
    <t>TOTAL PORTFOLIO</t>
  </si>
  <si>
    <t>10-YEAR PROJECTED GROWTH TO RETIREMENT</t>
  </si>
  <si>
    <t>Year</t>
  </si>
  <si>
    <t>Beginning Value ($)</t>
  </si>
  <si>
    <t>Contributions ($)</t>
  </si>
  <si>
    <t>Growth ($)</t>
  </si>
  <si>
    <t>Ending Value ($)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</si>
  <si>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</si>
  <si>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</si>
  <si>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</si>
  <si>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</si>
  <si>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</si>
  <si>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</si>
  <si>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</si>
  <si>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</si>
  <si>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</si>
  <si>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</si>
  <si>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PORTFOLIO AT RETIREMENT (Year 10)</t>
  </si>
  <si>
    <t>RETIREMENT INCOME PLAN</t>
  </si>
  <si>
    <t>ANNUAL INCOME AT RETIREMENT</t>
  </si>
  <si>
    <t>Income Source</t>
  </si>
  <si>
    <t>Robert ($)</t>
  </si>
  <si>
    <t>Sandra ($)</t>
  </si>
  <si>
    <t>Combined ($)</t>
  </si>
  <si>
    <t>RRSP / RRIF Drawdown</t>
  </si>
  <si>
    <t>TFSA Withdrawals (Tax-Free)</t>
  </si>
  <si>
    <t>Non-Registered Portfolio</t>
  </si>
  <si>
    <t>CPP Benefits</t>
  </si>
  <si>
    <t>OAS Benefits</t>
  </si>
  <si>
    <t>Rental / Other Income</t>
  </si>
  <si>
    <t>TOTAL ANNUAL INCOME</t>
  </si>
  <si>
    <t>INCOME ADEQUACY ANALYSIS</t>
  </si>
  <si>
    <t>Target Annual Retirement Income</t>
  </si>
  <si>
    <t>Projected Annual Income</t>
  </si>
  <si>
    <t>Annual Surplus / (Shortfall)</t>
  </si>
  <si>
    <t>Portfolio Depletion Risk</t>
  </si>
  <si>
    <t>Low — projected income exceeds target by 7.5%</t>
  </si>
  <si>
    <t>TAX OPTIMIZATION PLAN</t>
  </si>
  <si>
    <t>ANNUAL TAX SAVINGS BY STRATEGY</t>
  </si>
  <si>
    <t>Strategy</t>
  </si>
  <si>
    <t>Annual Savings ($)</t>
  </si>
  <si>
    <t>Notes</t>
  </si>
  <si>
    <t>Maximize RRSP Contributions</t>
  </si>
  <si>
    <t>Tax deduction at 46.5% marginal rate for Robert</t>
  </si>
  <si>
    <t>Spousal RRSP Income Splitting</t>
  </si>
  <si>
    <t>Shift income to Sandra at lower marginal rate</t>
  </si>
  <si>
    <t>TFSA Max Contribution (Both)</t>
  </si>
  <si>
    <t>Tax-free growth on $14,000 combined annually</t>
  </si>
  <si>
    <t>RRIF Minimum Drawdown Timing</t>
  </si>
  <si>
    <t>Defer RRSP conversion to age 71 to minimize tax</t>
  </si>
  <si>
    <t>CPP Deferral to Age 65</t>
  </si>
  <si>
    <t>Maximize lifetime CPP benefit by deferring</t>
  </si>
  <si>
    <t>Non-Reg. Tax-Loss Harvesting</t>
  </si>
  <si>
    <t>Offset realized capital gains with portfolio losses</t>
  </si>
  <si>
    <t>Pension Income Splitting</t>
  </si>
  <si>
    <t>Split up to 50% of eligible pension income</t>
  </si>
  <si>
    <t>TOTAL ANNUAL TAX SAVINGS</t>
  </si>
  <si>
    <t>ESTATE PLAN &amp; NET ESTATE SUMMARY</t>
  </si>
  <si>
    <t>ESTATE ASSETS</t>
  </si>
  <si>
    <t>Item</t>
  </si>
  <si>
    <t>Current Value ($)</t>
  </si>
  <si>
    <t>Projected Value at Death ($)</t>
  </si>
  <si>
    <t>Investment Portfolio</t>
  </si>
  <si>
    <t>Primary Residence</t>
  </si>
  <si>
    <t>RRSP / RRIF Assets</t>
  </si>
  <si>
    <t>TFSA Assets</t>
  </si>
  <si>
    <t>TOTAL GROSS ESTATE</t>
  </si>
  <si>
    <t>LIABILITIES &amp; ESTATE COSTS</t>
  </si>
  <si>
    <t>Outstanding Mortgage &amp; Debt</t>
  </si>
  <si>
    <t>Estimated Probate Costs (1.5%)</t>
  </si>
  <si>
    <t>Legal &amp; Administrative Costs</t>
  </si>
  <si>
    <t>TOTAL LIABILITIES</t>
  </si>
  <si>
    <t>NET ESTATE VALUE</t>
  </si>
  <si>
    <t>PLAN SUMMARY — CONSOLIDATED OVERVIEW</t>
  </si>
  <si>
    <t>PORTFOLIO</t>
  </si>
  <si>
    <t>Projected Portfolio at Retirement</t>
  </si>
  <si>
    <t>Expected Annual Return (Pre-Ret.)</t>
  </si>
  <si>
    <t>Total Annual Contributions</t>
  </si>
  <si>
    <t>RETIREMENT INCOME</t>
  </si>
  <si>
    <t>TAX OPTIMIZATION</t>
  </si>
  <si>
    <t>Total Annual Tax Savings</t>
  </si>
  <si>
    <t>Combined TFSA Balance</t>
  </si>
  <si>
    <t>ESTATE PLAN</t>
  </si>
  <si>
    <t>Total Gross Estate (Current)</t>
  </si>
  <si>
    <t>Total Gross Estate (Projected)</t>
  </si>
  <si>
    <t>Total Life Insurance Coverage</t>
  </si>
  <si>
    <t>KEY RECOMMENDATIONS</t>
  </si>
  <si>
    <t>1.  Maximize RRSP contributions annually — Robert's 46.5% marginal rate makes this the highest-priority tax shelter.</t>
  </si>
  <si>
    <t>2.  Execute spousal RRSP contributions each year to equalize retirement income and reduce combined tax liability.</t>
  </si>
  <si>
    <t>3.  Maximize TFSA contributions for both clients ($14,000 combined) — all growth and withdrawals are tax-free.</t>
  </si>
  <si>
    <t>4.  Defer CPP to age 65 for both clients — increases lifetime benefit by approximately 8.4% per year of deferral.</t>
  </si>
  <si>
    <t>5.  Initiate systematic tax-loss harvesting in the non-registered portfolio to offset realized capital gains.</t>
  </si>
  <si>
    <t>6.  Review life insurance coverage annually — current $3.5M combined coverage supports estate objectives.</t>
  </si>
  <si>
    <t>7.  Reduce equity allocation in Year 8 as retirement approaches — shift toward capital preservation.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</si>
</sst>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\$#,##0;&quot;($&quot;#,##0\);\-"/>
    <numFmt numFmtId="166" formatCode="0.0%;\(0.0%\);\-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2"/>
      <color rgb="FFFFFFFF"/>
      <name val="Arial"/>
      <family val="2"/>
    </font>
    <font>
      <sz val="10"/>
      <color rgb="FF1F4E79"/>
      <name val="Arial"/>
      <family val="2"/>
    </font>
    <font>
      <b/>
      <sz val="9"/>
      <color rgb="FF1A1A1A"/>
      <name val="Arial"/>
      <family val="2"/>
    </font>
    <font>
      <sz val="10"/>
      <color rgb="FF000000"/>
      <name val="Arial"/>
      <family val="2"/>
    </font>
    <font>
      <sz val="10"/>
      <color rgb="FF375623"/>
      <name val="Arial"/>
      <family val="2"/>
    </font>
    <font>
      <sz val="9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</fills>
  <borders count="6">
    <border>
      <left/>
      <right/>
      <top/>
      <bottom/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4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center" wrapText="1" indent="1"/>
    </xf>
    <xf numFmtId="164" fontId="9" fillId="5" borderId="3" xfId="0" applyNumberFormat="1" applyFont="1" applyFill="1" applyBorder="1" applyAlignment="1">
      <alignment horizontal="right" vertical="center"/>
    </xf>
    <xf numFmtId="165" fontId="9" fillId="4" borderId="3" xfId="0" applyNumberFormat="1" applyFont="1" applyFill="1" applyBorder="1" applyAlignment="1">
      <alignment horizontal="right" vertical="center"/>
    </xf>
    <xf numFmtId="165" fontId="10" fillId="5" borderId="3" xfId="0" applyNumberFormat="1" applyFont="1" applyFill="1" applyBorder="1" applyAlignment="1">
      <alignment horizontal="right" vertical="center"/>
    </xf>
    <xf numFmtId="165" fontId="7" fillId="4" borderId="3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1" fontId="7" fillId="4" borderId="2" xfId="0" applyNumberFormat="1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1" fontId="7" fillId="5" borderId="2" xfId="0" applyNumberFormat="1" applyFont="1" applyFill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5" fontId="7" fillId="4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 wrapText="1"/>
    </xf>
    <xf numFmtId="164" fontId="9" fillId="5" borderId="2" xfId="0" applyNumberFormat="1" applyFont="1" applyFill="1" applyBorder="1" applyAlignment="1">
      <alignment horizontal="right" vertical="center"/>
    </xf>
    <xf numFmtId="166" fontId="9" fillId="5" borderId="2" xfId="0" applyNumberFormat="1" applyFont="1" applyFill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  <xf numFmtId="166" fontId="9" fillId="4" borderId="2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1"/>
    </xf>
    <xf numFmtId="165" fontId="3" fillId="2" borderId="5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left" vertical="center" wrapText="1" indent="1"/>
    </xf>
    <xf numFmtId="0" fontId="11" fillId="4" borderId="2" xfId="0" applyFont="1" applyFill="1" applyBorder="1" applyAlignment="1">
      <alignment horizontal="left" vertical="center" wrapText="1" indent="1"/>
    </xf>
    <xf numFmtId="165" fontId="10" fillId="4" borderId="2" xfId="0" applyNumberFormat="1" applyFont="1" applyFill="1" applyBorder="1" applyAlignment="1">
      <alignment horizontal="right" vertical="center"/>
    </xf>
    <xf numFmtId="165" fontId="10" fillId="5" borderId="2" xfId="0" applyNumberFormat="1" applyFont="1" applyFill="1" applyBorder="1" applyAlignment="1">
      <alignment horizontal="right" vertical="center"/>
    </xf>
    <xf numFmtId="164" fontId="10" fillId="4" borderId="2" xfId="0" applyNumberFormat="1" applyFont="1" applyFill="1" applyBorder="1" applyAlignment="1">
      <alignment horizontal="right" vertical="center"/>
    </xf>
    <xf numFmtId="164" fontId="10" fillId="5" borderId="2" xfId="0" applyNumberFormat="1" applyFont="1" applyFill="1" applyBorder="1" applyAlignment="1">
      <alignment horizontal="right" vertical="center"/>
    </xf>
    <xf numFmtId="6" fontId="5" fillId="5" borderId="3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9"/>
  <sheetViews>
    <sheetView showGridLines="0" zoomScaleNormal="100" workbookViewId="0">
      <selection activeCell="C16" sqref="C16:D16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0" customWidth="1"/>
    <col min="4" max="4" width="38" customWidth="1"/>
    <col min="5" max="5" width="3" customWidth="1"/>
  </cols>
  <sheetData>
    <row r="1" spans="2:4" ht="9.75" customHeight="1" x14ac:dyDescent="0.2"/>
    <row r="2" spans="2:4" ht="37.5" customHeight="1" x14ac:dyDescent="0.2">
      <c r="B2" s="14" t="s">
        <v>0</v>
      </c>
      <c r="C2" s="14"/>
      <c r="D2" s="14"/>
    </row>
    <row r="3" spans="2:4" ht="19.5" customHeight="1" x14ac:dyDescent="0.2">
      <c r="B3" s="13" t="s">
        <v>1</v>
      </c>
      <c r="C3" s="13"/>
      <c r="D3" s="13"/>
    </row>
    <row r="4" spans="2:4" ht="9.75" customHeight="1" x14ac:dyDescent="0.2"/>
    <row r="5" spans="2:4" ht="19.5" customHeight="1" x14ac:dyDescent="0.2">
      <c r="B5" s="12" t="s">
        <v>2</v>
      </c>
      <c r="C5" s="12"/>
      <c r="D5" s="12"/>
    </row>
    <row r="6" spans="2:4" ht="18" customHeight="1" x14ac:dyDescent="0.2">
      <c r="B6" s="15" t="s">
        <v>3</v>
      </c>
      <c r="C6" s="11" t="s">
        <v>4</v>
      </c>
      <c r="D6" s="11"/>
    </row>
    <row r="7" spans="2:4" ht="18" customHeight="1" x14ac:dyDescent="0.2">
      <c r="B7" s="16" t="s">
        <v>5</v>
      </c>
      <c r="C7" s="10" t="s">
        <v>6</v>
      </c>
      <c r="D7" s="10"/>
    </row>
    <row r="8" spans="2:4" ht="18" customHeight="1" x14ac:dyDescent="0.2">
      <c r="B8" s="15" t="s">
        <v>7</v>
      </c>
      <c r="C8" s="11" t="s">
        <v>8</v>
      </c>
      <c r="D8" s="11"/>
    </row>
    <row r="9" spans="2:4" ht="18" customHeight="1" x14ac:dyDescent="0.2">
      <c r="B9" s="16" t="s">
        <v>9</v>
      </c>
      <c r="C9" s="10" t="s">
        <v>10</v>
      </c>
      <c r="D9" s="10"/>
    </row>
    <row r="10" spans="2:4" ht="18" customHeight="1" x14ac:dyDescent="0.2">
      <c r="B10" s="15" t="s">
        <v>11</v>
      </c>
      <c r="C10" s="11" t="s">
        <v>12</v>
      </c>
      <c r="D10" s="11"/>
    </row>
    <row r="11" spans="2:4" ht="18" customHeight="1" x14ac:dyDescent="0.2">
      <c r="B11" s="16" t="s">
        <v>13</v>
      </c>
      <c r="C11" s="10" t="s">
        <v>14</v>
      </c>
      <c r="D11" s="10"/>
    </row>
    <row r="13" spans="2:4" ht="9.75" customHeight="1" x14ac:dyDescent="0.2"/>
    <row r="14" spans="2:4" ht="19.5" customHeight="1" x14ac:dyDescent="0.2">
      <c r="B14" s="12" t="s">
        <v>15</v>
      </c>
      <c r="C14" s="12"/>
      <c r="D14" s="12"/>
    </row>
    <row r="15" spans="2:4" ht="18" customHeight="1" x14ac:dyDescent="0.2">
      <c r="B15" s="16" t="s">
        <v>16</v>
      </c>
      <c r="C15" s="42">
        <v>7710000</v>
      </c>
      <c r="D15" s="9"/>
    </row>
    <row r="16" spans="2:4" ht="18" customHeight="1" x14ac:dyDescent="0.2">
      <c r="B16" s="15" t="s">
        <v>17</v>
      </c>
      <c r="C16" s="8" t="s">
        <v>18</v>
      </c>
      <c r="D16" s="8"/>
    </row>
    <row r="17" spans="2:4" ht="18" customHeight="1" x14ac:dyDescent="0.2">
      <c r="B17" s="16" t="s">
        <v>19</v>
      </c>
      <c r="C17" s="9" t="s">
        <v>20</v>
      </c>
      <c r="D17" s="9"/>
    </row>
    <row r="18" spans="2:4" ht="18" customHeight="1" x14ac:dyDescent="0.2">
      <c r="B18" s="15" t="s">
        <v>21</v>
      </c>
      <c r="C18" s="8" t="s">
        <v>22</v>
      </c>
      <c r="D18" s="8"/>
    </row>
    <row r="19" spans="2:4" ht="18" customHeight="1" x14ac:dyDescent="0.2">
      <c r="B19" s="16" t="s">
        <v>23</v>
      </c>
      <c r="C19" s="9" t="s">
        <v>24</v>
      </c>
      <c r="D19" s="9"/>
    </row>
    <row r="20" spans="2:4" ht="18" customHeight="1" x14ac:dyDescent="0.2">
      <c r="B20" s="15" t="s">
        <v>25</v>
      </c>
      <c r="C20" s="8" t="s">
        <v>26</v>
      </c>
      <c r="D20" s="8"/>
    </row>
    <row r="22" spans="2:4" ht="9.75" customHeight="1" x14ac:dyDescent="0.2"/>
    <row r="23" spans="2:4" ht="19.5" customHeight="1" x14ac:dyDescent="0.2">
      <c r="B23" s="12" t="s">
        <v>27</v>
      </c>
      <c r="C23" s="12"/>
      <c r="D23" s="12"/>
    </row>
    <row r="24" spans="2:4" ht="18" customHeight="1" x14ac:dyDescent="0.2">
      <c r="B24" s="17" t="s">
        <v>28</v>
      </c>
      <c r="C24" s="11" t="s">
        <v>29</v>
      </c>
      <c r="D24" s="11"/>
    </row>
    <row r="25" spans="2:4" ht="18" customHeight="1" x14ac:dyDescent="0.2">
      <c r="B25" s="18" t="s">
        <v>30</v>
      </c>
      <c r="C25" s="10" t="s">
        <v>31</v>
      </c>
      <c r="D25" s="10"/>
    </row>
    <row r="26" spans="2:4" ht="18" customHeight="1" x14ac:dyDescent="0.2">
      <c r="B26" s="17" t="s">
        <v>32</v>
      </c>
      <c r="C26" s="11" t="s">
        <v>33</v>
      </c>
      <c r="D26" s="11"/>
    </row>
    <row r="27" spans="2:4" ht="18" customHeight="1" x14ac:dyDescent="0.2">
      <c r="B27" s="18" t="s">
        <v>34</v>
      </c>
      <c r="C27" s="10" t="s">
        <v>35</v>
      </c>
      <c r="D27" s="10"/>
    </row>
    <row r="28" spans="2:4" ht="18" customHeight="1" x14ac:dyDescent="0.2">
      <c r="B28" s="17" t="s">
        <v>36</v>
      </c>
      <c r="C28" s="11" t="s">
        <v>37</v>
      </c>
      <c r="D28" s="11"/>
    </row>
    <row r="29" spans="2:4" ht="18" customHeight="1" x14ac:dyDescent="0.2">
      <c r="B29" s="18" t="s">
        <v>38</v>
      </c>
      <c r="C29" s="10" t="s">
        <v>39</v>
      </c>
      <c r="D29" s="10"/>
    </row>
  </sheetData>
  <mergeCells count="23">
    <mergeCell ref="C27:D27"/>
    <mergeCell ref="C28:D28"/>
    <mergeCell ref="C29:D29"/>
    <mergeCell ref="C20:D20"/>
    <mergeCell ref="B23:D23"/>
    <mergeCell ref="C24:D24"/>
    <mergeCell ref="C25:D25"/>
    <mergeCell ref="C26:D26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B14:D14"/>
    <mergeCell ref="B2:D2"/>
    <mergeCell ref="B3:D3"/>
    <mergeCell ref="B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3" width="18" customWidth="1"/>
    <col min="4" max="4" width="3" customWidth="1"/>
    <col min="5" max="5" width="34" customWidth="1"/>
    <col min="6" max="6" width="18" customWidth="1"/>
  </cols>
  <sheetData>
    <row r="1" spans="2:6" ht="25.5" customHeight="1" x14ac:dyDescent="0.2">
      <c r="B1" s="7" t="s">
        <v>40</v>
      </c>
      <c r="C1" s="7"/>
    </row>
    <row r="2" spans="2:6" ht="7.5" customHeight="1" x14ac:dyDescent="0.2"/>
    <row r="3" spans="2:6" ht="19.5" customHeight="1" x14ac:dyDescent="0.2">
      <c r="B3" s="12" t="s">
        <v>41</v>
      </c>
      <c r="C3" s="12"/>
      <c r="E3" s="12" t="s">
        <v>42</v>
      </c>
      <c r="F3" s="12"/>
    </row>
    <row r="4" spans="2:6" ht="18" customHeight="1" x14ac:dyDescent="0.2">
      <c r="B4" s="15" t="s">
        <v>43</v>
      </c>
      <c r="C4" s="19">
        <v>52</v>
      </c>
      <c r="E4" s="15" t="s">
        <v>44</v>
      </c>
      <c r="F4" s="20">
        <v>0.46500000000000002</v>
      </c>
    </row>
    <row r="5" spans="2:6" ht="18" customHeight="1" x14ac:dyDescent="0.2">
      <c r="B5" s="16" t="s">
        <v>45</v>
      </c>
      <c r="C5" s="21">
        <v>49</v>
      </c>
      <c r="E5" s="16" t="s">
        <v>46</v>
      </c>
      <c r="F5" s="22">
        <v>0.435</v>
      </c>
    </row>
    <row r="6" spans="2:6" ht="18" customHeight="1" x14ac:dyDescent="0.2">
      <c r="B6" s="15" t="s">
        <v>47</v>
      </c>
      <c r="C6" s="19">
        <v>62</v>
      </c>
      <c r="E6" s="15" t="s">
        <v>48</v>
      </c>
      <c r="F6" s="23">
        <v>15000</v>
      </c>
    </row>
    <row r="7" spans="2:6" ht="18" customHeight="1" x14ac:dyDescent="0.2">
      <c r="B7" s="16" t="s">
        <v>49</v>
      </c>
      <c r="C7" s="21">
        <v>60</v>
      </c>
      <c r="E7" s="16" t="s">
        <v>50</v>
      </c>
      <c r="F7" s="24">
        <v>12000</v>
      </c>
    </row>
    <row r="8" spans="2:6" ht="18" customHeight="1" x14ac:dyDescent="0.2">
      <c r="B8" s="15" t="s">
        <v>9</v>
      </c>
      <c r="C8" s="19">
        <v>30</v>
      </c>
      <c r="E8" s="15" t="s">
        <v>51</v>
      </c>
      <c r="F8" s="23">
        <v>8500</v>
      </c>
    </row>
    <row r="9" spans="2:6" ht="18" customHeight="1" x14ac:dyDescent="0.2">
      <c r="B9" s="16" t="s">
        <v>52</v>
      </c>
      <c r="C9" s="24">
        <v>220000</v>
      </c>
      <c r="E9" s="16" t="s">
        <v>53</v>
      </c>
      <c r="F9" s="24">
        <v>680000</v>
      </c>
    </row>
    <row r="10" spans="2:6" ht="18" customHeight="1" x14ac:dyDescent="0.2">
      <c r="B10" s="15" t="s">
        <v>54</v>
      </c>
      <c r="C10" s="23">
        <v>145000</v>
      </c>
      <c r="E10" s="15" t="s">
        <v>55</v>
      </c>
      <c r="F10" s="23">
        <v>420000</v>
      </c>
    </row>
    <row r="11" spans="2:6" ht="18" customHeight="1" x14ac:dyDescent="0.2">
      <c r="B11" s="16" t="s">
        <v>56</v>
      </c>
      <c r="C11" s="22">
        <v>0.2</v>
      </c>
      <c r="E11" s="16" t="s">
        <v>57</v>
      </c>
      <c r="F11" s="24">
        <v>95000</v>
      </c>
    </row>
    <row r="12" spans="2:6" ht="18" customHeight="1" x14ac:dyDescent="0.2">
      <c r="E12" s="15" t="s">
        <v>58</v>
      </c>
      <c r="F12" s="23">
        <v>88000</v>
      </c>
    </row>
    <row r="13" spans="2:6" ht="18" customHeight="1" x14ac:dyDescent="0.2">
      <c r="E13" s="16" t="s">
        <v>59</v>
      </c>
      <c r="F13" s="24">
        <v>1917000</v>
      </c>
    </row>
    <row r="14" spans="2:6" ht="24" customHeight="1" x14ac:dyDescent="0.2">
      <c r="B14" s="12" t="s">
        <v>60</v>
      </c>
      <c r="C14" s="12"/>
    </row>
    <row r="15" spans="2:6" x14ac:dyDescent="0.2">
      <c r="B15" s="16" t="s">
        <v>61</v>
      </c>
      <c r="C15" s="24">
        <v>3200000</v>
      </c>
    </row>
    <row r="16" spans="2:6" ht="19.5" customHeight="1" x14ac:dyDescent="0.2">
      <c r="B16" s="15" t="s">
        <v>62</v>
      </c>
      <c r="C16" s="20">
        <v>7.0000000000000007E-2</v>
      </c>
      <c r="E16" s="12" t="s">
        <v>63</v>
      </c>
      <c r="F16" s="12"/>
    </row>
    <row r="17" spans="2:6" ht="18" customHeight="1" x14ac:dyDescent="0.2">
      <c r="B17" s="16" t="s">
        <v>64</v>
      </c>
      <c r="C17" s="22">
        <v>5.5E-2</v>
      </c>
      <c r="E17" s="16" t="s">
        <v>65</v>
      </c>
      <c r="F17" s="24">
        <v>1800000</v>
      </c>
    </row>
    <row r="18" spans="2:6" ht="18" customHeight="1" x14ac:dyDescent="0.2">
      <c r="B18" s="15" t="s">
        <v>66</v>
      </c>
      <c r="C18" s="20">
        <v>2.5000000000000001E-2</v>
      </c>
      <c r="E18" s="15" t="s">
        <v>67</v>
      </c>
      <c r="F18" s="23">
        <v>2000000</v>
      </c>
    </row>
    <row r="19" spans="2:6" ht="18" customHeight="1" x14ac:dyDescent="0.2">
      <c r="B19" s="16" t="s">
        <v>68</v>
      </c>
      <c r="C19" s="24">
        <v>31560</v>
      </c>
      <c r="E19" s="16" t="s">
        <v>69</v>
      </c>
      <c r="F19" s="24">
        <v>1500000</v>
      </c>
    </row>
    <row r="20" spans="2:6" ht="18" customHeight="1" x14ac:dyDescent="0.2">
      <c r="B20" s="15" t="s">
        <v>70</v>
      </c>
      <c r="C20" s="23">
        <v>7000</v>
      </c>
      <c r="E20" s="15" t="s">
        <v>71</v>
      </c>
      <c r="F20" s="23">
        <v>650000</v>
      </c>
    </row>
    <row r="21" spans="2:6" ht="18" customHeight="1" x14ac:dyDescent="0.2">
      <c r="B21" s="16" t="s">
        <v>72</v>
      </c>
      <c r="C21" s="24">
        <v>50000</v>
      </c>
      <c r="E21" s="16" t="s">
        <v>73</v>
      </c>
      <c r="F21" s="24">
        <v>420000</v>
      </c>
    </row>
    <row r="22" spans="2:6" ht="18" customHeight="1" x14ac:dyDescent="0.2">
      <c r="E22" s="15" t="s">
        <v>74</v>
      </c>
      <c r="F22" s="20">
        <v>3.5000000000000003E-2</v>
      </c>
    </row>
  </sheetData>
  <mergeCells count="5">
    <mergeCell ref="B1:C1"/>
    <mergeCell ref="B3:C3"/>
    <mergeCell ref="E3:F3"/>
    <mergeCell ref="B14:C14"/>
    <mergeCell ref="E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7"/>
  <sheetViews>
    <sheetView showGridLines="0" zoomScaleNormal="100" workbookViewId="0">
      <selection activeCell="E21" sqref="E21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16" customWidth="1"/>
    <col min="4" max="6" width="14" customWidth="1"/>
    <col min="7" max="7" width="3" customWidth="1"/>
  </cols>
  <sheetData>
    <row r="1" spans="2:6" ht="25.5" customHeight="1" x14ac:dyDescent="0.2">
      <c r="B1" s="7" t="s">
        <v>75</v>
      </c>
      <c r="C1" s="7"/>
      <c r="D1" s="7"/>
      <c r="E1" s="7"/>
      <c r="F1" s="7"/>
    </row>
    <row r="2" spans="2:6" ht="7.5" customHeight="1" x14ac:dyDescent="0.2"/>
    <row r="3" spans="2:6" ht="19.5" customHeight="1" x14ac:dyDescent="0.2">
      <c r="B3" s="12" t="s">
        <v>76</v>
      </c>
      <c r="C3" s="12"/>
      <c r="D3" s="12"/>
      <c r="E3" s="12"/>
      <c r="F3" s="12"/>
    </row>
    <row r="4" spans="2:6" ht="19.5" customHeight="1" x14ac:dyDescent="0.2">
      <c r="B4" s="25" t="s">
        <v>77</v>
      </c>
      <c r="C4" s="25" t="s">
        <v>78</v>
      </c>
      <c r="D4" s="25" t="s">
        <v>79</v>
      </c>
      <c r="E4" s="25" t="s">
        <v>80</v>
      </c>
      <c r="F4" s="25" t="s">
        <v>81</v>
      </c>
    </row>
    <row r="5" spans="2:6" ht="18" customHeight="1" x14ac:dyDescent="0.2">
      <c r="B5" s="16" t="s">
        <v>82</v>
      </c>
      <c r="C5" s="24">
        <v>480000</v>
      </c>
      <c r="D5" s="26">
        <f>C5/SUM(C5:C12)</f>
        <v>0.15</v>
      </c>
      <c r="E5" s="22">
        <v>0.15</v>
      </c>
      <c r="F5" s="27">
        <f t="shared" ref="F5:F12" si="0">D5-E5</f>
        <v>0</v>
      </c>
    </row>
    <row r="6" spans="2:6" ht="18" customHeight="1" x14ac:dyDescent="0.2">
      <c r="B6" s="15" t="s">
        <v>83</v>
      </c>
      <c r="C6" s="23">
        <v>768000</v>
      </c>
      <c r="D6" s="28">
        <f>C6/SUM(C5:C12)</f>
        <v>0.24</v>
      </c>
      <c r="E6" s="20">
        <v>0.25</v>
      </c>
      <c r="F6" s="29">
        <f t="shared" si="0"/>
        <v>-1.0000000000000009E-2</v>
      </c>
    </row>
    <row r="7" spans="2:6" ht="18" customHeight="1" x14ac:dyDescent="0.2">
      <c r="B7" s="16" t="s">
        <v>84</v>
      </c>
      <c r="C7" s="24">
        <v>384000</v>
      </c>
      <c r="D7" s="26">
        <f>C7/SUM(C5:C12)</f>
        <v>0.12</v>
      </c>
      <c r="E7" s="22">
        <v>0.1</v>
      </c>
      <c r="F7" s="27">
        <f t="shared" si="0"/>
        <v>1.999999999999999E-2</v>
      </c>
    </row>
    <row r="8" spans="2:6" ht="18" customHeight="1" x14ac:dyDescent="0.2">
      <c r="B8" s="15" t="s">
        <v>85</v>
      </c>
      <c r="C8" s="23">
        <v>640000</v>
      </c>
      <c r="D8" s="28">
        <f>C8/SUM(C5:C12)</f>
        <v>0.2</v>
      </c>
      <c r="E8" s="20">
        <v>0.2</v>
      </c>
      <c r="F8" s="29">
        <f t="shared" si="0"/>
        <v>0</v>
      </c>
    </row>
    <row r="9" spans="2:6" ht="18" customHeight="1" x14ac:dyDescent="0.2">
      <c r="B9" s="16" t="s">
        <v>86</v>
      </c>
      <c r="C9" s="24">
        <v>320000</v>
      </c>
      <c r="D9" s="26">
        <f>C9/SUM(C5:C12)</f>
        <v>0.1</v>
      </c>
      <c r="E9" s="22">
        <v>0.1</v>
      </c>
      <c r="F9" s="27">
        <f t="shared" si="0"/>
        <v>0</v>
      </c>
    </row>
    <row r="10" spans="2:6" ht="18" customHeight="1" x14ac:dyDescent="0.2">
      <c r="B10" s="15" t="s">
        <v>87</v>
      </c>
      <c r="C10" s="23">
        <v>256000</v>
      </c>
      <c r="D10" s="28">
        <f>C10/SUM(C5:C12)</f>
        <v>0.08</v>
      </c>
      <c r="E10" s="20">
        <v>0.08</v>
      </c>
      <c r="F10" s="29">
        <f t="shared" si="0"/>
        <v>0</v>
      </c>
    </row>
    <row r="11" spans="2:6" ht="18" customHeight="1" x14ac:dyDescent="0.2">
      <c r="B11" s="16" t="s">
        <v>88</v>
      </c>
      <c r="C11" s="24">
        <v>192000</v>
      </c>
      <c r="D11" s="26">
        <f>C11/SUM(C5:C12)</f>
        <v>0.06</v>
      </c>
      <c r="E11" s="22">
        <v>7.0000000000000007E-2</v>
      </c>
      <c r="F11" s="27">
        <f t="shared" si="0"/>
        <v>-1.0000000000000009E-2</v>
      </c>
    </row>
    <row r="12" spans="2:6" ht="18" customHeight="1" x14ac:dyDescent="0.2">
      <c r="B12" s="15" t="s">
        <v>89</v>
      </c>
      <c r="C12" s="23">
        <v>160000</v>
      </c>
      <c r="D12" s="28">
        <f>C12/SUM(C5:C12)</f>
        <v>0.05</v>
      </c>
      <c r="E12" s="20">
        <v>0.05</v>
      </c>
      <c r="F12" s="29">
        <f t="shared" si="0"/>
        <v>0</v>
      </c>
    </row>
    <row r="13" spans="2:6" ht="19.5" customHeight="1" x14ac:dyDescent="0.2">
      <c r="B13" s="30" t="s">
        <v>90</v>
      </c>
      <c r="C13" s="31">
        <f>SUM(C5:C12)</f>
        <v>3200000</v>
      </c>
      <c r="D13" s="26">
        <f>SUM(D5:D12)</f>
        <v>1</v>
      </c>
      <c r="E13" s="26">
        <f>SUM(E5:E12)</f>
        <v>1</v>
      </c>
    </row>
    <row r="14" spans="2:6" ht="7.5" customHeight="1" x14ac:dyDescent="0.2"/>
    <row r="15" spans="2:6" ht="19.5" customHeight="1" x14ac:dyDescent="0.2">
      <c r="B15" s="12" t="s">
        <v>91</v>
      </c>
      <c r="C15" s="12"/>
      <c r="D15" s="12"/>
      <c r="E15" s="12"/>
      <c r="F15" s="12"/>
    </row>
    <row r="16" spans="2:6" ht="19.5" customHeight="1" x14ac:dyDescent="0.2">
      <c r="B16" s="25" t="s">
        <v>92</v>
      </c>
      <c r="C16" s="25" t="s">
        <v>93</v>
      </c>
      <c r="D16" s="25" t="s">
        <v>94</v>
      </c>
      <c r="E16" s="25" t="s">
        <v>95</v>
      </c>
      <c r="F16" s="25" t="s">
        <v>96</v>
      </c>
    </row>
    <row r="17" spans="2:6" ht="18" customHeight="1" x14ac:dyDescent="0.2">
      <c r="B17" s="32" t="s">
        <v>97</v>
      </c>
      <c r="C17" s="33">
        <f>Assumptions!C15</f>
        <v>3200000</v>
      </c>
      <c r="D17" s="33">
        <f>(Assumptions!C19+Assumptions!C20+Assumptions!C21)</f>
        <v>88560</v>
      </c>
      <c r="E17" s="33">
        <f>(C17+D17)*Assumptions!C16</f>
        <v>230199.2</v>
      </c>
      <c r="F17" s="33">
        <f t="shared" ref="F17:F26" si="1">C17+D17+E17</f>
        <v>3518759.2</v>
      </c>
    </row>
    <row r="18" spans="2:6" ht="18" customHeight="1" x14ac:dyDescent="0.2">
      <c r="B18" s="34" t="s">
        <v>98</v>
      </c>
      <c r="C18" s="35">
        <f t="shared" ref="C18:C27" si="2">F17</f>
        <v>3518759.2</v>
      </c>
      <c r="D18" s="35">
        <f>(Assumptions!C19+Assumptions!C20+Assumptions!C21)</f>
        <v>88560</v>
      </c>
      <c r="E18" s="35">
        <f>(C18+D18)*Assumptions!C16</f>
        <v>252512.34400000004</v>
      </c>
      <c r="F18" s="35">
        <f t="shared" si="1"/>
        <v>3859831.5440000002</v>
      </c>
    </row>
    <row r="19" spans="2:6" ht="18" customHeight="1" x14ac:dyDescent="0.2">
      <c r="B19" s="32" t="s">
        <v>99</v>
      </c>
      <c r="C19" s="33">
        <f t="shared" si="2"/>
        <v>3859831.5440000002</v>
      </c>
      <c r="D19" s="33">
        <f>(Assumptions!C19+Assumptions!C20+Assumptions!C21)</f>
        <v>88560</v>
      </c>
      <c r="E19" s="33">
        <f>(C19+D19)*Assumptions!C16</f>
        <v>276387.40808000002</v>
      </c>
      <c r="F19" s="33">
        <f t="shared" si="1"/>
        <v>4224778.9520800002</v>
      </c>
    </row>
    <row r="20" spans="2:6" ht="18" customHeight="1" x14ac:dyDescent="0.2">
      <c r="B20" s="34" t="s">
        <v>100</v>
      </c>
      <c r="C20" s="35">
        <f t="shared" si="2"/>
        <v>4224778.9520800002</v>
      </c>
      <c r="D20" s="35">
        <f>(Assumptions!C19+Assumptions!C20+Assumptions!C21)</f>
        <v>88560</v>
      </c>
      <c r="E20" s="35">
        <f>(C20+D20)*Assumptions!C16</f>
        <v>301933.72664560005</v>
      </c>
      <c r="F20" s="35">
        <f t="shared" si="1"/>
        <v>4615272.6787256002</v>
      </c>
    </row>
    <row r="21" spans="2:6" ht="18" customHeight="1" x14ac:dyDescent="0.2">
      <c r="B21" s="32" t="s">
        <v>101</v>
      </c>
      <c r="C21" s="33">
        <f t="shared" si="2"/>
        <v>4615272.6787256002</v>
      </c>
      <c r="D21" s="33">
        <f>(Assumptions!C19+Assumptions!C20+Assumptions!C21)</f>
        <v>88560</v>
      </c>
      <c r="E21" s="33">
        <f>(C21+D21)*Assumptions!C16</f>
        <v>329268.28751079203</v>
      </c>
      <c r="F21" s="33">
        <f t="shared" si="1"/>
        <v>5033100.966236392</v>
      </c>
    </row>
    <row r="22" spans="2:6" ht="18" customHeight="1" x14ac:dyDescent="0.2">
      <c r="B22" s="34" t="s">
        <v>102</v>
      </c>
      <c r="C22" s="35">
        <f t="shared" si="2"/>
        <v>5033100.966236392</v>
      </c>
      <c r="D22" s="35">
        <f>(Assumptions!C19+Assumptions!C20+Assumptions!C21)</f>
        <v>88560</v>
      </c>
      <c r="E22" s="35">
        <f>(C22+D22)*Assumptions!C16</f>
        <v>358516.26763654751</v>
      </c>
      <c r="F22" s="35">
        <f t="shared" si="1"/>
        <v>5480177.2338729398</v>
      </c>
    </row>
    <row r="23" spans="2:6" ht="18" customHeight="1" x14ac:dyDescent="0.2">
      <c r="B23" s="32" t="s">
        <v>103</v>
      </c>
      <c r="C23" s="33">
        <f t="shared" si="2"/>
        <v>5480177.2338729398</v>
      </c>
      <c r="D23" s="33">
        <f>(Assumptions!C19+Assumptions!C20+Assumptions!C21)</f>
        <v>88560</v>
      </c>
      <c r="E23" s="33">
        <f>(C23+D23)*Assumptions!C16</f>
        <v>389811.60637110582</v>
      </c>
      <c r="F23" s="33">
        <f t="shared" si="1"/>
        <v>5958548.8402440455</v>
      </c>
    </row>
    <row r="24" spans="2:6" ht="18" customHeight="1" x14ac:dyDescent="0.2">
      <c r="B24" s="34" t="s">
        <v>104</v>
      </c>
      <c r="C24" s="35">
        <f t="shared" si="2"/>
        <v>5958548.8402440455</v>
      </c>
      <c r="D24" s="35">
        <f>(Assumptions!C19+Assumptions!C20+Assumptions!C21)</f>
        <v>88560</v>
      </c>
      <c r="E24" s="35">
        <f>(C24+D24)*Assumptions!C16</f>
        <v>423297.61881708325</v>
      </c>
      <c r="F24" s="35">
        <f t="shared" si="1"/>
        <v>6470406.459061129</v>
      </c>
    </row>
    <row r="25" spans="2:6" ht="18" customHeight="1" x14ac:dyDescent="0.2">
      <c r="B25" s="32" t="s">
        <v>105</v>
      </c>
      <c r="C25" s="33">
        <f t="shared" si="2"/>
        <v>6470406.459061129</v>
      </c>
      <c r="D25" s="33">
        <f>(Assumptions!C19+Assumptions!C20+Assumptions!C21)</f>
        <v>88560</v>
      </c>
      <c r="E25" s="33">
        <f>(C25+D25)*Assumptions!C16</f>
        <v>459127.65213427908</v>
      </c>
      <c r="F25" s="33">
        <f t="shared" si="1"/>
        <v>7018094.1111954078</v>
      </c>
    </row>
    <row r="26" spans="2:6" ht="18" customHeight="1" x14ac:dyDescent="0.2">
      <c r="B26" s="34" t="s">
        <v>106</v>
      </c>
      <c r="C26" s="35">
        <f t="shared" si="2"/>
        <v>7018094.1111954078</v>
      </c>
      <c r="D26" s="35">
        <f>(Assumptions!C19+Assumptions!C20+Assumptions!C21)</f>
        <v>88560</v>
      </c>
      <c r="E26" s="35">
        <f>(C26+D26)*Assumptions!C16</f>
        <v>497465.78778367862</v>
      </c>
      <c r="F26" s="35">
        <f t="shared" si="1"/>
        <v>7604119.8989790864</v>
      </c>
    </row>
    <row r="27" spans="2:6" ht="19.5" customHeight="1" x14ac:dyDescent="0.2">
      <c r="B27" s="30" t="s">
        <v>107</v>
      </c>
      <c r="C27" s="31">
        <f t="shared" si="2"/>
        <v>7604119.8989790864</v>
      </c>
    </row>
  </sheetData>
  <mergeCells count="3">
    <mergeCell ref="B1:F1"/>
    <mergeCell ref="B3:F3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8"/>
  <sheetViews>
    <sheetView showGridLines="0" zoomScaleNormal="100" workbookViewId="0">
      <selection activeCell="C17" sqref="C17:E17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5" width="18" customWidth="1"/>
    <col min="6" max="6" width="3" customWidth="1"/>
  </cols>
  <sheetData>
    <row r="1" spans="2:5" ht="25.5" customHeight="1" x14ac:dyDescent="0.2">
      <c r="B1" s="7" t="s">
        <v>108</v>
      </c>
      <c r="C1" s="7"/>
      <c r="D1" s="7"/>
      <c r="E1" s="7"/>
    </row>
    <row r="2" spans="2:5" ht="7.5" customHeight="1" x14ac:dyDescent="0.2"/>
    <row r="3" spans="2:5" ht="19.5" customHeight="1" x14ac:dyDescent="0.2">
      <c r="B3" s="12" t="s">
        <v>109</v>
      </c>
      <c r="C3" s="12"/>
      <c r="D3" s="12"/>
      <c r="E3" s="12"/>
    </row>
    <row r="4" spans="2:5" ht="19.5" customHeight="1" x14ac:dyDescent="0.2">
      <c r="B4" s="25" t="s">
        <v>110</v>
      </c>
      <c r="C4" s="25" t="s">
        <v>111</v>
      </c>
      <c r="D4" s="25" t="s">
        <v>112</v>
      </c>
      <c r="E4" s="25" t="s">
        <v>113</v>
      </c>
    </row>
    <row r="5" spans="2:5" ht="18" customHeight="1" x14ac:dyDescent="0.2">
      <c r="B5" s="16" t="s">
        <v>114</v>
      </c>
      <c r="C5" s="24">
        <v>95000</v>
      </c>
      <c r="D5" s="24">
        <v>65000</v>
      </c>
      <c r="E5" s="33">
        <f t="shared" ref="E5:E10" si="0">C5+D5</f>
        <v>160000</v>
      </c>
    </row>
    <row r="6" spans="2:5" ht="18" customHeight="1" x14ac:dyDescent="0.2">
      <c r="B6" s="15" t="s">
        <v>115</v>
      </c>
      <c r="C6" s="23">
        <v>28000</v>
      </c>
      <c r="D6" s="23">
        <v>24000</v>
      </c>
      <c r="E6" s="35">
        <f t="shared" si="0"/>
        <v>52000</v>
      </c>
    </row>
    <row r="7" spans="2:5" ht="18" customHeight="1" x14ac:dyDescent="0.2">
      <c r="B7" s="16" t="s">
        <v>116</v>
      </c>
      <c r="C7" s="24">
        <v>55000</v>
      </c>
      <c r="D7" s="24">
        <v>38000</v>
      </c>
      <c r="E7" s="33">
        <f t="shared" si="0"/>
        <v>93000</v>
      </c>
    </row>
    <row r="8" spans="2:5" ht="18" customHeight="1" x14ac:dyDescent="0.2">
      <c r="B8" s="15" t="s">
        <v>117</v>
      </c>
      <c r="C8" s="23">
        <v>15000</v>
      </c>
      <c r="D8" s="23">
        <v>12000</v>
      </c>
      <c r="E8" s="35">
        <f t="shared" si="0"/>
        <v>27000</v>
      </c>
    </row>
    <row r="9" spans="2:5" ht="18" customHeight="1" x14ac:dyDescent="0.2">
      <c r="B9" s="16" t="s">
        <v>118</v>
      </c>
      <c r="C9" s="24">
        <v>8500</v>
      </c>
      <c r="D9" s="24">
        <v>8500</v>
      </c>
      <c r="E9" s="33">
        <f t="shared" si="0"/>
        <v>17000</v>
      </c>
    </row>
    <row r="10" spans="2:5" ht="18" customHeight="1" x14ac:dyDescent="0.2">
      <c r="B10" s="15" t="s">
        <v>119</v>
      </c>
      <c r="C10" s="23">
        <v>12000</v>
      </c>
      <c r="D10" s="23">
        <v>0</v>
      </c>
      <c r="E10" s="35">
        <f t="shared" si="0"/>
        <v>12000</v>
      </c>
    </row>
    <row r="11" spans="2:5" ht="19.5" customHeight="1" x14ac:dyDescent="0.2">
      <c r="B11" s="30" t="s">
        <v>120</v>
      </c>
      <c r="C11" s="31">
        <f>SUM(C5:C10)</f>
        <v>213500</v>
      </c>
      <c r="D11" s="33">
        <f>SUM(D5:D10)</f>
        <v>147500</v>
      </c>
      <c r="E11" s="33">
        <f>SUM(E5:E10)</f>
        <v>361000</v>
      </c>
    </row>
    <row r="12" spans="2:5" ht="7.5" customHeight="1" x14ac:dyDescent="0.2"/>
    <row r="13" spans="2:5" ht="19.5" customHeight="1" x14ac:dyDescent="0.2">
      <c r="B13" s="12" t="s">
        <v>121</v>
      </c>
      <c r="C13" s="12"/>
      <c r="D13" s="12"/>
      <c r="E13" s="12"/>
    </row>
    <row r="14" spans="2:5" ht="18" customHeight="1" x14ac:dyDescent="0.2">
      <c r="B14" s="15" t="s">
        <v>122</v>
      </c>
      <c r="C14" s="6">
        <v>320000</v>
      </c>
      <c r="D14" s="6"/>
      <c r="E14" s="6"/>
    </row>
    <row r="15" spans="2:5" ht="18" customHeight="1" x14ac:dyDescent="0.2">
      <c r="B15" s="16" t="s">
        <v>123</v>
      </c>
      <c r="C15" s="5">
        <f>E11</f>
        <v>361000</v>
      </c>
      <c r="D15" s="5"/>
      <c r="E15" s="5"/>
    </row>
    <row r="16" spans="2:5" ht="18" customHeight="1" x14ac:dyDescent="0.2">
      <c r="B16" s="15" t="s">
        <v>124</v>
      </c>
      <c r="C16" s="4">
        <f>C15-C14</f>
        <v>41000</v>
      </c>
      <c r="D16" s="4"/>
      <c r="E16" s="4"/>
    </row>
    <row r="17" spans="2:5" ht="18" customHeight="1" x14ac:dyDescent="0.2">
      <c r="B17" s="16" t="s">
        <v>17</v>
      </c>
      <c r="C17" s="3">
        <f>C15/C14</f>
        <v>1.128125</v>
      </c>
      <c r="D17" s="3"/>
      <c r="E17" s="3"/>
    </row>
    <row r="18" spans="2:5" ht="18" customHeight="1" x14ac:dyDescent="0.2">
      <c r="B18" s="15" t="s">
        <v>125</v>
      </c>
      <c r="C18" s="11" t="s">
        <v>126</v>
      </c>
      <c r="D18" s="11"/>
      <c r="E18" s="11"/>
    </row>
  </sheetData>
  <mergeCells count="8">
    <mergeCell ref="C16:E16"/>
    <mergeCell ref="C17:E17"/>
    <mergeCell ref="C18:E18"/>
    <mergeCell ref="B1:E1"/>
    <mergeCell ref="B3:E3"/>
    <mergeCell ref="B13:E13"/>
    <mergeCell ref="C14:E14"/>
    <mergeCell ref="C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2" customWidth="1"/>
    <col min="3" max="3" width="16" customWidth="1"/>
    <col min="4" max="4" width="36" customWidth="1"/>
    <col min="5" max="5" width="3" customWidth="1"/>
  </cols>
  <sheetData>
    <row r="1" spans="2:4" ht="25.5" customHeight="1" x14ac:dyDescent="0.2">
      <c r="B1" s="7" t="s">
        <v>127</v>
      </c>
      <c r="C1" s="7"/>
      <c r="D1" s="7"/>
    </row>
    <row r="2" spans="2:4" ht="7.5" customHeight="1" x14ac:dyDescent="0.2"/>
    <row r="3" spans="2:4" ht="19.5" customHeight="1" x14ac:dyDescent="0.2">
      <c r="B3" s="12" t="s">
        <v>128</v>
      </c>
      <c r="C3" s="12"/>
      <c r="D3" s="12"/>
    </row>
    <row r="4" spans="2:4" ht="19.5" customHeight="1" x14ac:dyDescent="0.2">
      <c r="B4" s="25" t="s">
        <v>129</v>
      </c>
      <c r="C4" s="25" t="s">
        <v>130</v>
      </c>
      <c r="D4" s="25" t="s">
        <v>131</v>
      </c>
    </row>
    <row r="5" spans="2:4" ht="19.5" customHeight="1" x14ac:dyDescent="0.2">
      <c r="B5" s="16" t="s">
        <v>132</v>
      </c>
      <c r="C5" s="24">
        <v>14700</v>
      </c>
      <c r="D5" s="36" t="s">
        <v>133</v>
      </c>
    </row>
    <row r="6" spans="2:4" ht="19.5" customHeight="1" x14ac:dyDescent="0.2">
      <c r="B6" s="15" t="s">
        <v>134</v>
      </c>
      <c r="C6" s="23">
        <v>8200</v>
      </c>
      <c r="D6" s="37" t="s">
        <v>135</v>
      </c>
    </row>
    <row r="7" spans="2:4" ht="19.5" customHeight="1" x14ac:dyDescent="0.2">
      <c r="B7" s="16" t="s">
        <v>136</v>
      </c>
      <c r="C7" s="24">
        <v>6500</v>
      </c>
      <c r="D7" s="36" t="s">
        <v>137</v>
      </c>
    </row>
    <row r="8" spans="2:4" ht="19.5" customHeight="1" x14ac:dyDescent="0.2">
      <c r="B8" s="15" t="s">
        <v>138</v>
      </c>
      <c r="C8" s="23">
        <v>12400</v>
      </c>
      <c r="D8" s="37" t="s">
        <v>139</v>
      </c>
    </row>
    <row r="9" spans="2:4" ht="19.5" customHeight="1" x14ac:dyDescent="0.2">
      <c r="B9" s="16" t="s">
        <v>140</v>
      </c>
      <c r="C9" s="24">
        <v>18600</v>
      </c>
      <c r="D9" s="36" t="s">
        <v>141</v>
      </c>
    </row>
    <row r="10" spans="2:4" ht="19.5" customHeight="1" x14ac:dyDescent="0.2">
      <c r="B10" s="15" t="s">
        <v>142</v>
      </c>
      <c r="C10" s="23">
        <v>9800</v>
      </c>
      <c r="D10" s="37" t="s">
        <v>143</v>
      </c>
    </row>
    <row r="11" spans="2:4" ht="19.5" customHeight="1" x14ac:dyDescent="0.2">
      <c r="B11" s="16" t="s">
        <v>144</v>
      </c>
      <c r="C11" s="24">
        <v>8200</v>
      </c>
      <c r="D11" s="36" t="s">
        <v>145</v>
      </c>
    </row>
    <row r="12" spans="2:4" ht="19.5" customHeight="1" x14ac:dyDescent="0.2">
      <c r="B12" s="30" t="s">
        <v>146</v>
      </c>
      <c r="C12" s="31">
        <f>SUM(C5:C11)</f>
        <v>78400</v>
      </c>
    </row>
  </sheetData>
  <mergeCells count="2">
    <mergeCell ref="B1:D1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2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2" customWidth="1"/>
    <col min="3" max="3" width="18" customWidth="1"/>
    <col min="4" max="4" width="20" customWidth="1"/>
    <col min="5" max="5" width="3" customWidth="1"/>
  </cols>
  <sheetData>
    <row r="1" spans="2:4" ht="25.5" customHeight="1" x14ac:dyDescent="0.2">
      <c r="B1" s="7" t="s">
        <v>147</v>
      </c>
      <c r="C1" s="7"/>
      <c r="D1" s="7"/>
    </row>
    <row r="2" spans="2:4" ht="7.5" customHeight="1" x14ac:dyDescent="0.2"/>
    <row r="3" spans="2:4" ht="19.5" customHeight="1" x14ac:dyDescent="0.2">
      <c r="B3" s="12" t="s">
        <v>148</v>
      </c>
      <c r="C3" s="12"/>
      <c r="D3" s="12"/>
    </row>
    <row r="4" spans="2:4" ht="19.5" customHeight="1" x14ac:dyDescent="0.2">
      <c r="B4" s="25" t="s">
        <v>149</v>
      </c>
      <c r="C4" s="25" t="s">
        <v>150</v>
      </c>
      <c r="D4" s="25" t="s">
        <v>151</v>
      </c>
    </row>
    <row r="5" spans="2:4" ht="18" customHeight="1" x14ac:dyDescent="0.2">
      <c r="B5" s="16" t="s">
        <v>152</v>
      </c>
      <c r="C5" s="24">
        <v>3200000</v>
      </c>
      <c r="D5" s="33">
        <f>C5*(1+Assumptions!F22)^20</f>
        <v>6367324.3630906967</v>
      </c>
    </row>
    <row r="6" spans="2:4" ht="18" customHeight="1" x14ac:dyDescent="0.2">
      <c r="B6" s="15" t="s">
        <v>153</v>
      </c>
      <c r="C6" s="23">
        <v>1800000</v>
      </c>
      <c r="D6" s="35">
        <f>C6*(1+Assumptions!F22)^20</f>
        <v>3581619.9542385167</v>
      </c>
    </row>
    <row r="7" spans="2:4" ht="18" customHeight="1" x14ac:dyDescent="0.2">
      <c r="B7" s="16" t="s">
        <v>71</v>
      </c>
      <c r="C7" s="24">
        <v>650000</v>
      </c>
      <c r="D7" s="33">
        <f>C7*(1+Assumptions!F22)^20</f>
        <v>1293362.7612527977</v>
      </c>
    </row>
    <row r="8" spans="2:4" ht="18" customHeight="1" x14ac:dyDescent="0.2">
      <c r="B8" s="15" t="s">
        <v>67</v>
      </c>
      <c r="C8" s="23">
        <v>2000000</v>
      </c>
      <c r="D8" s="35">
        <f>C8*(1+Assumptions!F22)^20</f>
        <v>3979577.7269316856</v>
      </c>
    </row>
    <row r="9" spans="2:4" ht="18" customHeight="1" x14ac:dyDescent="0.2">
      <c r="B9" s="16" t="s">
        <v>69</v>
      </c>
      <c r="C9" s="24">
        <v>1500000</v>
      </c>
      <c r="D9" s="33">
        <f>C9*(1+Assumptions!F22)^20</f>
        <v>2984683.2951987642</v>
      </c>
    </row>
    <row r="10" spans="2:4" ht="18" customHeight="1" x14ac:dyDescent="0.2">
      <c r="B10" s="15" t="s">
        <v>154</v>
      </c>
      <c r="C10" s="23">
        <v>1100000</v>
      </c>
      <c r="D10" s="35">
        <f>C10*(1+Assumptions!F22)^20</f>
        <v>2188767.749812427</v>
      </c>
    </row>
    <row r="11" spans="2:4" ht="18" customHeight="1" x14ac:dyDescent="0.2">
      <c r="B11" s="16" t="s">
        <v>155</v>
      </c>
      <c r="C11" s="24">
        <v>183000</v>
      </c>
      <c r="D11" s="33">
        <f>C11*(1+Assumptions!F22)^20</f>
        <v>364131.3620142492</v>
      </c>
    </row>
    <row r="12" spans="2:4" ht="19.5" customHeight="1" x14ac:dyDescent="0.2">
      <c r="B12" s="30" t="s">
        <v>156</v>
      </c>
      <c r="C12" s="31">
        <f>SUM(C5:C11)</f>
        <v>10433000</v>
      </c>
      <c r="D12" s="33">
        <f>SUM(D5:D11)</f>
        <v>20759467.212539136</v>
      </c>
    </row>
    <row r="13" spans="2:4" ht="7.5" customHeight="1" x14ac:dyDescent="0.2"/>
    <row r="14" spans="2:4" ht="19.5" customHeight="1" x14ac:dyDescent="0.2">
      <c r="B14" s="12" t="s">
        <v>157</v>
      </c>
      <c r="C14" s="12"/>
      <c r="D14" s="12"/>
    </row>
    <row r="15" spans="2:4" ht="19.5" customHeight="1" x14ac:dyDescent="0.2">
      <c r="B15" s="25" t="s">
        <v>149</v>
      </c>
      <c r="C15" s="25" t="s">
        <v>150</v>
      </c>
      <c r="D15" s="25" t="s">
        <v>151</v>
      </c>
    </row>
    <row r="16" spans="2:4" ht="18" customHeight="1" x14ac:dyDescent="0.2">
      <c r="B16" s="15" t="s">
        <v>158</v>
      </c>
      <c r="C16" s="23">
        <v>420000</v>
      </c>
      <c r="D16" s="35">
        <f>C16*(1+Assumptions!F22)^20</f>
        <v>835711.32265565393</v>
      </c>
    </row>
    <row r="17" spans="2:4" ht="18" customHeight="1" x14ac:dyDescent="0.2">
      <c r="B17" s="16" t="s">
        <v>159</v>
      </c>
      <c r="C17" s="33">
        <f>C12*0.015</f>
        <v>156495</v>
      </c>
      <c r="D17" s="33">
        <f>D12*0.015</f>
        <v>311392.00818808703</v>
      </c>
    </row>
    <row r="18" spans="2:4" ht="18" customHeight="1" x14ac:dyDescent="0.2">
      <c r="B18" s="15" t="s">
        <v>160</v>
      </c>
      <c r="C18" s="23">
        <v>45000</v>
      </c>
      <c r="D18" s="35">
        <f>C18*(1+Assumptions!F22)^20</f>
        <v>89540.498855962927</v>
      </c>
    </row>
    <row r="19" spans="2:4" ht="19.5" customHeight="1" x14ac:dyDescent="0.2">
      <c r="B19" s="30" t="s">
        <v>161</v>
      </c>
      <c r="C19" s="31">
        <f>SUM(C16:C18)</f>
        <v>621495</v>
      </c>
      <c r="D19" s="33">
        <f>SUM(D16:D18)</f>
        <v>1236643.829699704</v>
      </c>
    </row>
    <row r="20" spans="2:4" ht="7.5" customHeight="1" x14ac:dyDescent="0.2"/>
    <row r="21" spans="2:4" ht="21.75" customHeight="1" x14ac:dyDescent="0.2">
      <c r="B21" s="30" t="s">
        <v>162</v>
      </c>
      <c r="C21" s="31">
        <f>C12-C19</f>
        <v>9811505</v>
      </c>
      <c r="D21" s="33">
        <f>D12-D19</f>
        <v>19522823.382839434</v>
      </c>
    </row>
  </sheetData>
  <mergeCells count="3">
    <mergeCell ref="B1:D1"/>
    <mergeCell ref="B3:D3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35"/>
  <sheetViews>
    <sheetView showGridLines="0" tabSelected="1" topLeftCell="A8" zoomScaleNormal="100" workbookViewId="0">
      <selection activeCell="H30" sqref="H30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31.83203125" customWidth="1"/>
    <col min="4" max="4" width="3" customWidth="1"/>
  </cols>
  <sheetData>
    <row r="1" spans="2:3" ht="25.5" customHeight="1" x14ac:dyDescent="0.2">
      <c r="B1" s="7" t="s">
        <v>163</v>
      </c>
      <c r="C1" s="7"/>
    </row>
    <row r="2" spans="2:3" ht="7.5" customHeight="1" x14ac:dyDescent="0.2"/>
    <row r="3" spans="2:3" ht="7.5" customHeight="1" x14ac:dyDescent="0.2"/>
    <row r="4" spans="2:3" ht="19.5" customHeight="1" x14ac:dyDescent="0.2">
      <c r="B4" s="12" t="s">
        <v>164</v>
      </c>
      <c r="C4" s="12"/>
    </row>
    <row r="5" spans="2:3" ht="18" customHeight="1" x14ac:dyDescent="0.2">
      <c r="B5" s="15" t="s">
        <v>61</v>
      </c>
      <c r="C5" s="38">
        <f>Portfolio!C13</f>
        <v>3200000</v>
      </c>
    </row>
    <row r="6" spans="2:3" ht="18" customHeight="1" x14ac:dyDescent="0.2">
      <c r="B6" s="16" t="s">
        <v>165</v>
      </c>
      <c r="C6" s="39">
        <f>Portfolio!F26</f>
        <v>7604119.8989790864</v>
      </c>
    </row>
    <row r="7" spans="2:3" ht="18" customHeight="1" x14ac:dyDescent="0.2">
      <c r="B7" s="15" t="s">
        <v>166</v>
      </c>
      <c r="C7" s="40">
        <f>Assumptions!C16</f>
        <v>7.0000000000000007E-2</v>
      </c>
    </row>
    <row r="8" spans="2:3" ht="18" customHeight="1" x14ac:dyDescent="0.2">
      <c r="B8" s="16" t="s">
        <v>167</v>
      </c>
      <c r="C8" s="39">
        <f>Assumptions!C19+Assumptions!C20+Assumptions!C21</f>
        <v>88560</v>
      </c>
    </row>
    <row r="9" spans="2:3" ht="7.5" customHeight="1" x14ac:dyDescent="0.2"/>
    <row r="10" spans="2:3" ht="19.5" customHeight="1" x14ac:dyDescent="0.2">
      <c r="B10" s="12" t="s">
        <v>168</v>
      </c>
      <c r="C10" s="12"/>
    </row>
    <row r="11" spans="2:3" ht="18" customHeight="1" x14ac:dyDescent="0.2">
      <c r="B11" s="15" t="s">
        <v>122</v>
      </c>
      <c r="C11" s="38">
        <f>RetirementPlan!C14</f>
        <v>320000</v>
      </c>
    </row>
    <row r="12" spans="2:3" ht="18" customHeight="1" x14ac:dyDescent="0.2">
      <c r="B12" s="16" t="s">
        <v>123</v>
      </c>
      <c r="C12" s="39">
        <f>RetirementPlan!C15</f>
        <v>361000</v>
      </c>
    </row>
    <row r="13" spans="2:3" ht="18" customHeight="1" x14ac:dyDescent="0.2">
      <c r="B13" s="15" t="s">
        <v>124</v>
      </c>
      <c r="C13" s="38">
        <f>RetirementPlan!C16</f>
        <v>41000</v>
      </c>
    </row>
    <row r="14" spans="2:3" ht="18" customHeight="1" x14ac:dyDescent="0.2">
      <c r="B14" s="16" t="s">
        <v>17</v>
      </c>
      <c r="C14" s="41">
        <f>RetirementPlan!C17</f>
        <v>1.128125</v>
      </c>
    </row>
    <row r="15" spans="2:3" ht="7.5" customHeight="1" x14ac:dyDescent="0.2"/>
    <row r="16" spans="2:3" ht="19.5" customHeight="1" x14ac:dyDescent="0.2">
      <c r="B16" s="12" t="s">
        <v>169</v>
      </c>
      <c r="C16" s="12"/>
    </row>
    <row r="17" spans="2:3" ht="18" customHeight="1" x14ac:dyDescent="0.2">
      <c r="B17" s="15" t="s">
        <v>170</v>
      </c>
      <c r="C17" s="38">
        <f>TaxPlan!C12</f>
        <v>78400</v>
      </c>
    </row>
    <row r="18" spans="2:3" ht="18" customHeight="1" x14ac:dyDescent="0.2">
      <c r="B18" s="16" t="s">
        <v>53</v>
      </c>
      <c r="C18" s="39">
        <f>Assumptions!F9</f>
        <v>680000</v>
      </c>
    </row>
    <row r="19" spans="2:3" ht="18" customHeight="1" x14ac:dyDescent="0.2">
      <c r="B19" s="15" t="s">
        <v>55</v>
      </c>
      <c r="C19" s="38">
        <f>Assumptions!F10</f>
        <v>420000</v>
      </c>
    </row>
    <row r="20" spans="2:3" ht="18" customHeight="1" x14ac:dyDescent="0.2">
      <c r="B20" s="16" t="s">
        <v>171</v>
      </c>
      <c r="C20" s="39">
        <f>Assumptions!F11+Assumptions!F12</f>
        <v>183000</v>
      </c>
    </row>
    <row r="21" spans="2:3" ht="7.5" customHeight="1" x14ac:dyDescent="0.2"/>
    <row r="22" spans="2:3" ht="19.5" customHeight="1" x14ac:dyDescent="0.2">
      <c r="B22" s="12" t="s">
        <v>172</v>
      </c>
      <c r="C22" s="12"/>
    </row>
    <row r="23" spans="2:3" ht="18" customHeight="1" x14ac:dyDescent="0.2">
      <c r="B23" s="15" t="s">
        <v>173</v>
      </c>
      <c r="C23" s="38">
        <f>EstatePlan!C12</f>
        <v>10433000</v>
      </c>
    </row>
    <row r="24" spans="2:3" ht="18" customHeight="1" x14ac:dyDescent="0.2">
      <c r="B24" s="16" t="s">
        <v>174</v>
      </c>
      <c r="C24" s="39">
        <f>EstatePlan!D12</f>
        <v>20759467.212539136</v>
      </c>
    </row>
    <row r="25" spans="2:3" ht="18" customHeight="1" x14ac:dyDescent="0.2">
      <c r="B25" s="15" t="s">
        <v>23</v>
      </c>
      <c r="C25" s="38">
        <f>EstatePlan!D21</f>
        <v>19522823.382839434</v>
      </c>
    </row>
    <row r="26" spans="2:3" ht="18" customHeight="1" x14ac:dyDescent="0.2">
      <c r="B26" s="16" t="s">
        <v>175</v>
      </c>
      <c r="C26" s="39">
        <f>Assumptions!F18+Assumptions!F19</f>
        <v>3500000</v>
      </c>
    </row>
    <row r="27" spans="2:3" ht="9.75" customHeight="1" x14ac:dyDescent="0.2"/>
    <row r="28" spans="2:3" ht="16" x14ac:dyDescent="0.2">
      <c r="B28" s="7" t="s">
        <v>176</v>
      </c>
      <c r="C28" s="7"/>
    </row>
    <row r="29" spans="2:3" ht="30" customHeight="1" x14ac:dyDescent="0.2">
      <c r="B29" s="2" t="s">
        <v>177</v>
      </c>
      <c r="C29" s="2"/>
    </row>
    <row r="30" spans="2:3" ht="32" customHeight="1" x14ac:dyDescent="0.2">
      <c r="B30" s="1" t="s">
        <v>178</v>
      </c>
      <c r="C30" s="1"/>
    </row>
    <row r="31" spans="2:3" ht="36" customHeight="1" x14ac:dyDescent="0.2">
      <c r="B31" s="2" t="s">
        <v>179</v>
      </c>
      <c r="C31" s="2"/>
    </row>
    <row r="32" spans="2:3" ht="37" customHeight="1" x14ac:dyDescent="0.2">
      <c r="B32" s="1" t="s">
        <v>180</v>
      </c>
      <c r="C32" s="1"/>
    </row>
    <row r="33" spans="2:3" ht="33" customHeight="1" x14ac:dyDescent="0.2">
      <c r="B33" s="2" t="s">
        <v>181</v>
      </c>
      <c r="C33" s="2"/>
    </row>
    <row r="34" spans="2:3" ht="28" customHeight="1" x14ac:dyDescent="0.2">
      <c r="B34" s="1" t="s">
        <v>182</v>
      </c>
      <c r="C34" s="1"/>
    </row>
    <row r="35" spans="2:3" ht="38" customHeight="1" x14ac:dyDescent="0.2">
      <c r="B35" s="2" t="s">
        <v>183</v>
      </c>
      <c r="C35" s="2"/>
    </row>
  </sheetData>
  <mergeCells count="13">
    <mergeCell ref="B33:C33"/>
    <mergeCell ref="B34:C34"/>
    <mergeCell ref="B35:C35"/>
    <mergeCell ref="B28:C28"/>
    <mergeCell ref="B29:C29"/>
    <mergeCell ref="B30:C30"/>
    <mergeCell ref="B31:C31"/>
    <mergeCell ref="B32:C32"/>
    <mergeCell ref="B1:C1"/>
    <mergeCell ref="B4:C4"/>
    <mergeCell ref="B10:C10"/>
    <mergeCell ref="B16:C16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Portfolio</vt:lpstr>
      <vt:lpstr>RetirementPlan</vt:lpstr>
      <vt:lpstr>TaxPlan</vt:lpstr>
      <vt:lpstr>EstatePlan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vatsal chavda</cp:lastModifiedBy>
  <cp:revision>0</cp:revision>
  <dcterms:created xsi:type="dcterms:W3CDTF">2026-04-09T20:58:43Z</dcterms:created>
  <dcterms:modified xsi:type="dcterms:W3CDTF">2026-04-09T21:19:09Z</dcterms:modified>
  <dc:language>en-US</dc:language>
</cp:coreProperties>
</file>