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atsalchavda/Desktop/Co-op/Nicola Wealth/"/>
    </mc:Choice>
  </mc:AlternateContent>
  <xr:revisionPtr revIDLastSave="0" documentId="8_{0D5E9BEA-C511-B642-9AF7-EEC01CBDD163}" xr6:coauthVersionLast="47" xr6:coauthVersionMax="47" xr10:uidLastSave="{00000000-0000-0000-0000-000000000000}"/>
  <bookViews>
    <workbookView xWindow="0" yWindow="660" windowWidth="29400" windowHeight="18460" tabRatio="500" activeTab="6" xr2:uid="{00000000-000D-0000-FFFF-FFFF00000000}"/>
  </bookViews>
  <sheets>
    <sheet name="Cover" sheetId="1" r:id="rId1"/>
    <sheet name="Assumptions" sheetId="2" r:id="rId2"/>
    <sheet name="Portfolio" sheetId="3" r:id="rId3"/>
    <sheet name="RetirementPlan" sheetId="4" r:id="rId4"/>
    <sheet name="TaxPlan" sheetId="5" r:id="rId5"/>
    <sheet name="EstatePlan" sheetId="6" r:id="rId6"/>
    <sheet name="Summary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3" l="1"/>
  <c r="C27" i="7"/>
  <c r="C5" i="7"/>
  <c r="C10" i="6"/>
  <c r="C8" i="6"/>
  <c r="C16" i="5"/>
  <c r="C15" i="5"/>
  <c r="C14" i="5"/>
  <c r="C17" i="5" s="1"/>
  <c r="C8" i="5"/>
  <c r="C16" i="4"/>
  <c r="C17" i="4" s="1"/>
  <c r="C20" i="4" s="1"/>
  <c r="C15" i="7" s="1"/>
  <c r="C10" i="4"/>
  <c r="C9" i="4"/>
  <c r="C8" i="4"/>
  <c r="C26" i="3"/>
  <c r="C5" i="3"/>
  <c r="C38" i="2"/>
  <c r="C36" i="2"/>
  <c r="C35" i="2"/>
  <c r="C34" i="2"/>
  <c r="C33" i="2"/>
  <c r="C37" i="2" s="1"/>
  <c r="C14" i="2"/>
  <c r="C7" i="5" s="1"/>
  <c r="C10" i="2"/>
  <c r="C9" i="2"/>
  <c r="J6" i="3" s="1"/>
  <c r="C5" i="2"/>
  <c r="C9" i="6" s="1"/>
  <c r="C18" i="5" l="1"/>
  <c r="C19" i="5" s="1"/>
  <c r="C14" i="6"/>
  <c r="C24" i="7"/>
  <c r="C6" i="6"/>
  <c r="C7" i="3"/>
  <c r="C6" i="5"/>
  <c r="C9" i="5"/>
  <c r="C39" i="2"/>
  <c r="C7" i="6"/>
  <c r="C6" i="3"/>
  <c r="K6" i="3"/>
  <c r="F6" i="3"/>
  <c r="N6" i="3"/>
  <c r="G6" i="3"/>
  <c r="O6" i="3"/>
  <c r="C8" i="3"/>
  <c r="C9" i="3" s="1"/>
  <c r="H6" i="3"/>
  <c r="P6" i="3"/>
  <c r="C5" i="5"/>
  <c r="D6" i="3"/>
  <c r="L6" i="3"/>
  <c r="E6" i="3"/>
  <c r="M6" i="3"/>
  <c r="I6" i="3"/>
  <c r="C13" i="3" l="1"/>
  <c r="C15" i="3"/>
  <c r="C14" i="3"/>
  <c r="D5" i="3"/>
  <c r="C18" i="3"/>
  <c r="C12" i="3"/>
  <c r="C17" i="1"/>
  <c r="C11" i="7"/>
  <c r="C21" i="3"/>
  <c r="C10" i="5"/>
  <c r="C28" i="3"/>
  <c r="C8" i="7"/>
  <c r="C22" i="5" l="1"/>
  <c r="C22" i="7"/>
  <c r="D7" i="3"/>
  <c r="D8" i="3"/>
  <c r="D9" i="3"/>
  <c r="C23" i="3"/>
  <c r="C22" i="3"/>
  <c r="D13" i="3" l="1"/>
  <c r="D18" i="3"/>
  <c r="D12" i="3"/>
  <c r="D14" i="3"/>
  <c r="E5" i="3"/>
  <c r="D15" i="3"/>
  <c r="D21" i="3"/>
  <c r="D22" i="3" s="1"/>
  <c r="C18" i="1"/>
  <c r="C23" i="7"/>
  <c r="E8" i="3" l="1"/>
  <c r="E7" i="3"/>
  <c r="D23" i="3"/>
  <c r="E21" i="3" l="1"/>
  <c r="E22" i="3" s="1"/>
  <c r="E23" i="3"/>
  <c r="E9" i="3"/>
  <c r="E14" i="3" l="1"/>
  <c r="E18" i="3"/>
  <c r="E12" i="3"/>
  <c r="F5" i="3"/>
  <c r="E15" i="3"/>
  <c r="E13" i="3"/>
  <c r="F8" i="3" l="1"/>
  <c r="F7" i="3"/>
  <c r="F9" i="3"/>
  <c r="F14" i="3" l="1"/>
  <c r="G5" i="3"/>
  <c r="F13" i="3"/>
  <c r="F15" i="3"/>
  <c r="F18" i="3"/>
  <c r="F12" i="3"/>
  <c r="F21" i="3"/>
  <c r="F22" i="3" l="1"/>
  <c r="F23" i="3"/>
  <c r="G7" i="3"/>
  <c r="G8" i="3"/>
  <c r="G21" i="3" l="1"/>
  <c r="G22" i="3" s="1"/>
  <c r="G9" i="3"/>
  <c r="G23" i="3"/>
  <c r="H5" i="3" l="1"/>
  <c r="G15" i="3"/>
  <c r="G13" i="3"/>
  <c r="G18" i="3"/>
  <c r="G12" i="3"/>
  <c r="G14" i="3"/>
  <c r="H8" i="3" l="1"/>
  <c r="H7" i="3"/>
  <c r="H21" i="3" s="1"/>
  <c r="H22" i="3" l="1"/>
  <c r="H23" i="3"/>
  <c r="H9" i="3"/>
  <c r="H15" i="3" l="1"/>
  <c r="H14" i="3"/>
  <c r="H18" i="3"/>
  <c r="H12" i="3"/>
  <c r="H13" i="3"/>
  <c r="I5" i="3"/>
  <c r="I8" i="3" l="1"/>
  <c r="I7" i="3"/>
  <c r="I21" i="3" s="1"/>
  <c r="I9" i="3"/>
  <c r="I18" i="3" l="1"/>
  <c r="I12" i="3"/>
  <c r="I14" i="3"/>
  <c r="I13" i="3"/>
  <c r="I15" i="3"/>
  <c r="I22" i="3"/>
  <c r="I23" i="3"/>
  <c r="J7" i="3" l="1"/>
  <c r="J8" i="3"/>
  <c r="J21" i="3" l="1"/>
  <c r="J9" i="3"/>
  <c r="J18" i="3" l="1"/>
  <c r="J12" i="3"/>
  <c r="K5" i="3"/>
  <c r="J15" i="3"/>
  <c r="J13" i="3"/>
  <c r="J14" i="3"/>
  <c r="J22" i="3"/>
  <c r="J23" i="3"/>
  <c r="K7" i="3" l="1"/>
  <c r="K8" i="3"/>
  <c r="K9" i="3" s="1"/>
  <c r="K13" i="3" l="1"/>
  <c r="K15" i="3"/>
  <c r="K14" i="3"/>
  <c r="L5" i="3"/>
  <c r="K18" i="3"/>
  <c r="K12" i="3"/>
  <c r="K21" i="3"/>
  <c r="K22" i="3" l="1"/>
  <c r="K23" i="3"/>
  <c r="L7" i="3"/>
  <c r="L8" i="3"/>
  <c r="L9" i="3"/>
  <c r="L13" i="3" l="1"/>
  <c r="L18" i="3"/>
  <c r="L12" i="3"/>
  <c r="L14" i="3"/>
  <c r="M5" i="3"/>
  <c r="L15" i="3"/>
  <c r="L21" i="3"/>
  <c r="L22" i="3" s="1"/>
  <c r="L23" i="3"/>
  <c r="M8" i="3" l="1"/>
  <c r="M7" i="3"/>
  <c r="M21" i="3" s="1"/>
  <c r="M22" i="3" s="1"/>
  <c r="M9" i="3" l="1"/>
  <c r="M23" i="3"/>
  <c r="M14" i="3" l="1"/>
  <c r="M18" i="3"/>
  <c r="M12" i="3"/>
  <c r="N5" i="3"/>
  <c r="M15" i="3"/>
  <c r="M13" i="3"/>
  <c r="N8" i="3" l="1"/>
  <c r="N7" i="3"/>
  <c r="N21" i="3" s="1"/>
  <c r="N9" i="3"/>
  <c r="N14" i="3" l="1"/>
  <c r="O5" i="3"/>
  <c r="N13" i="3"/>
  <c r="N15" i="3"/>
  <c r="N18" i="3"/>
  <c r="N12" i="3"/>
  <c r="N22" i="3"/>
  <c r="N23" i="3"/>
  <c r="O7" i="3" l="1"/>
  <c r="O8" i="3"/>
  <c r="O21" i="3" l="1"/>
  <c r="O9" i="3"/>
  <c r="P5" i="3" l="1"/>
  <c r="O15" i="3"/>
  <c r="O13" i="3"/>
  <c r="O18" i="3"/>
  <c r="O12" i="3"/>
  <c r="O14" i="3"/>
  <c r="O22" i="3"/>
  <c r="O23" i="3"/>
  <c r="P8" i="3" l="1"/>
  <c r="C30" i="3" s="1"/>
  <c r="P7" i="3"/>
  <c r="P21" i="3" l="1"/>
  <c r="C29" i="3"/>
  <c r="C9" i="7"/>
  <c r="P9" i="3"/>
  <c r="P15" i="3" l="1"/>
  <c r="C6" i="7"/>
  <c r="C32" i="3"/>
  <c r="C10" i="7" s="1"/>
  <c r="C5" i="4"/>
  <c r="C12" i="4" s="1"/>
  <c r="C27" i="3"/>
  <c r="P14" i="3"/>
  <c r="C31" i="3"/>
  <c r="P18" i="3"/>
  <c r="P12" i="3"/>
  <c r="P13" i="3"/>
  <c r="C25" i="4"/>
  <c r="C19" i="7" s="1"/>
  <c r="C15" i="6"/>
  <c r="C5" i="6"/>
  <c r="C11" i="6" s="1"/>
  <c r="C35" i="3"/>
  <c r="C14" i="1" s="1"/>
  <c r="P22" i="3"/>
  <c r="P23" i="3"/>
  <c r="C7" i="7" l="1"/>
  <c r="C33" i="3"/>
  <c r="C25" i="7"/>
  <c r="C16" i="6"/>
  <c r="C18" i="6" s="1"/>
  <c r="C15" i="1"/>
  <c r="C23" i="4"/>
  <c r="C16" i="7" s="1"/>
  <c r="C24" i="4"/>
  <c r="C14" i="7"/>
  <c r="C26" i="4"/>
  <c r="C18" i="7" s="1"/>
  <c r="C26" i="7" l="1"/>
  <c r="C16" i="1"/>
  <c r="C17" i="7"/>
  <c r="C19" i="1"/>
</calcChain>
</file>

<file path=xl/sharedStrings.xml><?xml version="1.0" encoding="utf-8"?>
<sst xmlns="http://schemas.openxmlformats.org/spreadsheetml/2006/main" count="304" uniqueCount="289">
  <si>
    <t>HIGH-NET-WORTH CLIENT WEALTH PLAN  —  Comprehensive Financial Analysis</t>
  </si>
  <si>
    <t>Prepared by: Vatsal Chavda  |  Honours BCom Finance, Seneca Polytechnic  |  March 2026</t>
  </si>
  <si>
    <t>CLIENT PROFILE SUMMARY</t>
  </si>
  <si>
    <t>Client Name</t>
  </si>
  <si>
    <t>Robert &amp; Sandra Mitchell (Simulated)</t>
  </si>
  <si>
    <t>Age</t>
  </si>
  <si>
    <t>52 (Retirement Target: Age 65)</t>
  </si>
  <si>
    <t>Planning Horizon</t>
  </si>
  <si>
    <t>13 Years  (2026 → 2039)</t>
  </si>
  <si>
    <t>Investable Assets</t>
  </si>
  <si>
    <t>Annual Income</t>
  </si>
  <si>
    <t>Risk Profile</t>
  </si>
  <si>
    <t>Balanced Growth (Moderate-Aggressive)</t>
  </si>
  <si>
    <t>Primary Goals</t>
  </si>
  <si>
    <t>Retirement income, estate transfer, tax minimization</t>
  </si>
  <si>
    <t>MODEL STRUCTURE — KEY OUTPUTS (Live Links)</t>
  </si>
  <si>
    <t>Projected Portfolio Value at Retirement (Age 65)</t>
  </si>
  <si>
    <t>Total Retirement Income (Annual)</t>
  </si>
  <si>
    <t>Estimated Net Estate Value</t>
  </si>
  <si>
    <t>Blended Portfolio Return (Net)</t>
  </si>
  <si>
    <t>Total Tax Savings (RRSP + TFSA + Corp Structure)</t>
  </si>
  <si>
    <t>Retirement Funding Ratio</t>
  </si>
  <si>
    <t>NAVIGATION</t>
  </si>
  <si>
    <t>→  Sheets:  Assumptions  |  Portfolio  |  Retirement Plan  |  Tax Plan  |  Estate Plan  |  Summary</t>
  </si>
  <si>
    <t>MODEL ASSUMPTIONS  —  All Inputs in Yellow  |  Blue = Hardcoded  |  Green = Linked</t>
  </si>
  <si>
    <t>CLIENT INPUTS</t>
  </si>
  <si>
    <t>Current Age</t>
  </si>
  <si>
    <t>Client profile</t>
  </si>
  <si>
    <t>Retirement Age</t>
  </si>
  <si>
    <t>Target retirement</t>
  </si>
  <si>
    <t>Planning Horizon (Years)</t>
  </si>
  <si>
    <t>Derived: retirement age minus current age</t>
  </si>
  <si>
    <t>Current Investable Assets ($)</t>
  </si>
  <si>
    <t>Client-provided figure</t>
  </si>
  <si>
    <t>Annual Gross Income ($)</t>
  </si>
  <si>
    <t>T4 + corporate income</t>
  </si>
  <si>
    <t>Annual Living Expenses ($)</t>
  </si>
  <si>
    <t>Client budget estimate</t>
  </si>
  <si>
    <t>Annual Savings / New Contributions ($)</t>
  </si>
  <si>
    <t>Derived: Income less expenses and tax</t>
  </si>
  <si>
    <t>Estimated Annual Income Tax ($)</t>
  </si>
  <si>
    <t>Derived: Gross income × combined marginal rate (simplified)</t>
  </si>
  <si>
    <t>TAX INPUTS</t>
  </si>
  <si>
    <t>Federal Marginal Tax Rate</t>
  </si>
  <si>
    <t>CRA 2025: $246,752+ bracket = 33%</t>
  </si>
  <si>
    <t>Ontario Provincial Tax Rate</t>
  </si>
  <si>
    <t>Ontario 2025: $220,000+ = 13.16%</t>
  </si>
  <si>
    <t>Combined Marginal Tax Rate</t>
  </si>
  <si>
    <t>Derived: Federal + Provincial</t>
  </si>
  <si>
    <t>Capital Gains Inclusion Rate</t>
  </si>
  <si>
    <t>CRA 2025: 50% inclusion on personal gains</t>
  </si>
  <si>
    <t>RRSP Annual Contribution Limit ($)</t>
  </si>
  <si>
    <t>CRA 2025: 18% of earned income max $31,560</t>
  </si>
  <si>
    <t>TFSA Annual Contribution Limit ($)</t>
  </si>
  <si>
    <t>CRA 2025 annual limit</t>
  </si>
  <si>
    <t>Corporate Tax Rate (SBD)</t>
  </si>
  <si>
    <t>Ontario 2025 small business rate 12.5%</t>
  </si>
  <si>
    <t>PORTFOLIO &amp; RETURN ASSUMPTIONS</t>
  </si>
  <si>
    <t>Equities Allocation (%)</t>
  </si>
  <si>
    <t>Balanced growth for 52-yr HNW client</t>
  </si>
  <si>
    <t>Fixed Income Allocation (%)</t>
  </si>
  <si>
    <t>Capital preservation component</t>
  </si>
  <si>
    <t>Alternative Investments (%)</t>
  </si>
  <si>
    <t>Private equity, real assets, hedge funds</t>
  </si>
  <si>
    <t>Cash &amp; Equivalents (%)</t>
  </si>
  <si>
    <t>Liquidity buffer</t>
  </si>
  <si>
    <t>Equities Expected Return (Gross)</t>
  </si>
  <si>
    <t>Historical TSX/S&amp;P blended 10yr avg</t>
  </si>
  <si>
    <t>Fixed Income Expected Return (Gross)</t>
  </si>
  <si>
    <t>Government + IG corporate bond avg 2025</t>
  </si>
  <si>
    <t>Alternatives Expected Return (Gross)</t>
  </si>
  <si>
    <t>Industry benchmark — alternative investments avg (est.)</t>
  </si>
  <si>
    <t>Cash Expected Return (Gross)</t>
  </si>
  <si>
    <t>HISA / T-Bill rate 2025</t>
  </si>
  <si>
    <t>Management Expense Ratio (MER)</t>
  </si>
  <si>
    <t>Typical wealth management MER estimate</t>
  </si>
  <si>
    <t>Inflation Rate</t>
  </si>
  <si>
    <t>Bank of Canada 2% target + buffer</t>
  </si>
  <si>
    <t>BLENDED RETURN CALCULATION</t>
  </si>
  <si>
    <t>Equities Contribution</t>
  </si>
  <si>
    <t>Allocation × Return</t>
  </si>
  <si>
    <t>Fixed Income Contribution</t>
  </si>
  <si>
    <t>Alternatives Contribution</t>
  </si>
  <si>
    <t>Cash Contribution</t>
  </si>
  <si>
    <t>Gross Blended Return</t>
  </si>
  <si>
    <t>Sum of weighted returns</t>
  </si>
  <si>
    <t>Less: MER</t>
  </si>
  <si>
    <t>Management fee drag</t>
  </si>
  <si>
    <t>Net Blended Return (After Fees)</t>
  </si>
  <si>
    <t>ESTATE &amp; INSURANCE INPUTS</t>
  </si>
  <si>
    <t>Life Insurance Coverage ($)</t>
  </si>
  <si>
    <t>Face value — term/permanent blend</t>
  </si>
  <si>
    <t>Annual Insurance Premium ($)</t>
  </si>
  <si>
    <t>Estimated for age 52, non-smoker</t>
  </si>
  <si>
    <t>RRSP Balance (Current)</t>
  </si>
  <si>
    <t>Registered account balance</t>
  </si>
  <si>
    <t>TFSA Balance (Current)</t>
  </si>
  <si>
    <t>Tax-free savings account balance</t>
  </si>
  <si>
    <t>Real Estate / Primary Residence ($)</t>
  </si>
  <si>
    <t>Estimated market value — GTA</t>
  </si>
  <si>
    <t>Charitable Giving (Annual)</t>
  </si>
  <si>
    <t>Donor-advised fund contribution</t>
  </si>
  <si>
    <t>Corporate Holdco Assets ($)</t>
  </si>
  <si>
    <t>Surplus income held in corporation</t>
  </si>
  <si>
    <t>PORTFOLIO PROJECTION  —  13-Year Horizon (Age 52 to 65)  |  All Values in CAD ($)</t>
  </si>
  <si>
    <t>Item</t>
  </si>
  <si>
    <t>2026
Age 52</t>
  </si>
  <si>
    <t>2027
Age 53</t>
  </si>
  <si>
    <t>2028
Age 54</t>
  </si>
  <si>
    <t>2029
Age 55</t>
  </si>
  <si>
    <t>2030
Age 56</t>
  </si>
  <si>
    <t>2031
Age 57</t>
  </si>
  <si>
    <t>2032
Age 58</t>
  </si>
  <si>
    <t>2033
Age 59</t>
  </si>
  <si>
    <t>2034
Age 60</t>
  </si>
  <si>
    <t>2035
Age 61</t>
  </si>
  <si>
    <t>2036
Age 62</t>
  </si>
  <si>
    <t>2037
Age 63</t>
  </si>
  <si>
    <t>2038
Age 64</t>
  </si>
  <si>
    <t>2039
Age 65</t>
  </si>
  <si>
    <t>PORTFOLIO VALUE PROGRESSION</t>
  </si>
  <si>
    <t>Opening Portfolio Value ($)</t>
  </si>
  <si>
    <t>New Contributions ($)</t>
  </si>
  <si>
    <t>Investment Return ($)</t>
  </si>
  <si>
    <t>Less: Fees (MER) ($)</t>
  </si>
  <si>
    <t>Closing Portfolio Value ($)</t>
  </si>
  <si>
    <t>ASSET ALLOCATION BREAKDOWN  (Based on Closing Portfolio Value)</t>
  </si>
  <si>
    <t>Equities (45%)</t>
  </si>
  <si>
    <t>Fixed Income (25%)</t>
  </si>
  <si>
    <t>Alternatives (20%)</t>
  </si>
  <si>
    <t>Cash &amp; Equivalents (10%)</t>
  </si>
  <si>
    <t>REAL VALUE (Inflation-Adjusted at 2.5%)</t>
  </si>
  <si>
    <t>Real Portfolio Value ($)</t>
  </si>
  <si>
    <t>ANNUAL RETURN METRICS</t>
  </si>
  <si>
    <t>Annual Net Return ($)</t>
  </si>
  <si>
    <t>Annual Net Return (%)</t>
  </si>
  <si>
    <t>Cumulative Return ($)</t>
  </si>
  <si>
    <t>KEY PORTFOLIO STATISTICS</t>
  </si>
  <si>
    <t>Starting Value (2026)</t>
  </si>
  <si>
    <t>Ending Value (2039)</t>
  </si>
  <si>
    <t>Total Contributions</t>
  </si>
  <si>
    <t>Total Investment Return</t>
  </si>
  <si>
    <t>Total Fees Paid</t>
  </si>
  <si>
    <t>Net Portfolio Growth</t>
  </si>
  <si>
    <t>CAGR (Net)</t>
  </si>
  <si>
    <t>Real Value at Retirement</t>
  </si>
  <si>
    <t>Retirement Portfolio Value (Cover Link)</t>
  </si>
  <si>
    <t>RETIREMENT INCOME PLAN  —  Target Age 65  |  Projected to Age 90 (25-Year Drawdown)</t>
  </si>
  <si>
    <t>RETIREMENT INCOME SOURCES</t>
  </si>
  <si>
    <t>Annual ($)</t>
  </si>
  <si>
    <t>Notes</t>
  </si>
  <si>
    <t>Portfolio Drawdown (4% SWR)</t>
  </si>
  <si>
    <t>4% Safe Withdrawal Rate on retirement portfolio</t>
  </si>
  <si>
    <t>CPP Benefit (Age 65)</t>
  </si>
  <si>
    <t>2025 max CPP: $1,306.57/mo × 12 = $15,679 (est. ~$24,900 w/ enhancement)</t>
  </si>
  <si>
    <t>OAS Benefit (Age 65)</t>
  </si>
  <si>
    <t>2025 OAS: $718.33/mo × 12 = $8,618</t>
  </si>
  <si>
    <t>RRSP/RRIF Annual Drawdown</t>
  </si>
  <si>
    <t>5% annual drawdown from RRIF at retirement</t>
  </si>
  <si>
    <t>TFSA Annual Withdrawal</t>
  </si>
  <si>
    <t>4% withdrawal from TFSA (tax-free)</t>
  </si>
  <si>
    <t>Corporate Holdco Distribution</t>
  </si>
  <si>
    <t>6% annual dividend from Holdco</t>
  </si>
  <si>
    <t>Rental / Other Income</t>
  </si>
  <si>
    <t>Not included — conservative assumption</t>
  </si>
  <si>
    <t>Total Annual Retirement Income</t>
  </si>
  <si>
    <t>Sum of all retirement income streams</t>
  </si>
  <si>
    <t>RETIREMENT EXPENSES &amp; ADEQUACY</t>
  </si>
  <si>
    <t>Estimated Living Expenses (Retirement)</t>
  </si>
  <si>
    <t>75% of pre-retirement expenses (industry rule)</t>
  </si>
  <si>
    <t>Inflation-Adjusted Expenses (Yr 1)</t>
  </si>
  <si>
    <t>Adjusted for inflation over planning horizon</t>
  </si>
  <si>
    <t>Healthcare &amp; Long-Term Care Reserve</t>
  </si>
  <si>
    <t>Annual provision for healthcare costs</t>
  </si>
  <si>
    <t>Travel &amp; Lifestyle Budget</t>
  </si>
  <si>
    <t>Discretionary spending estimate</t>
  </si>
  <si>
    <t>Total Annual Retirement Expenses</t>
  </si>
  <si>
    <t>RETIREMENT ADEQUACY METRICS</t>
  </si>
  <si>
    <t>Annual Surplus / (Deficit)</t>
  </si>
  <si>
    <t>Funding Ratio (Income / Exp.)</t>
  </si>
  <si>
    <t>Years Portfolio Sustains (Est.)</t>
  </si>
  <si>
    <t>Replacement Rate</t>
  </si>
  <si>
    <t>TAX OPTIMIZATION PLAN  —  Annual &amp; Lifetime Strategies</t>
  </si>
  <si>
    <t>ANNUAL TAX SAVINGS ANALYSIS</t>
  </si>
  <si>
    <t>Annual Saving ($)</t>
  </si>
  <si>
    <t>Strategy Detail</t>
  </si>
  <si>
    <t>RRSP Contribution Tax Deduction</t>
  </si>
  <si>
    <t>Max RRSP $31,560 × 46.16% marginal rate = ~$14,572 tax saved</t>
  </si>
  <si>
    <t>TFSA Tax-Free Compounding (Annual Benefit)</t>
  </si>
  <si>
    <t>TFSA return shielded from tax at marginal rate</t>
  </si>
  <si>
    <t>Corporate Holdco Income Splitting</t>
  </si>
  <si>
    <t>Dividend at corp rate vs. personal rate differential</t>
  </si>
  <si>
    <t>Charitable Donation Tax Credit</t>
  </si>
  <si>
    <t>Federal 29% credit on donations above $200 threshold</t>
  </si>
  <si>
    <t>Capital Gains Advantage vs. Income</t>
  </si>
  <si>
    <t>Tax saving from 50% inclusion vs. full income tax</t>
  </si>
  <si>
    <t>Total Annual Tax Savings</t>
  </si>
  <si>
    <t>RRSP PROJECTION TO RETIREMENT</t>
  </si>
  <si>
    <t>Value ($)</t>
  </si>
  <si>
    <t>Current RRSP Balance</t>
  </si>
  <si>
    <t>From Assumptions</t>
  </si>
  <si>
    <t>Annual Contribution</t>
  </si>
  <si>
    <t>Max annual contribution</t>
  </si>
  <si>
    <t>Years to Retirement</t>
  </si>
  <si>
    <t>Planning horizon</t>
  </si>
  <si>
    <t>Projected RRSP at Retirement</t>
  </si>
  <si>
    <t>FV of existing balance + FV of annual contributions</t>
  </si>
  <si>
    <t>Estimated RRIF Annual Withdrawal</t>
  </si>
  <si>
    <t>5% drawdown rate at retirement</t>
  </si>
  <si>
    <t>Tax on RRIF Withdrawal</t>
  </si>
  <si>
    <t>Marginal rate applied to RRIF income</t>
  </si>
  <si>
    <t>LIFETIME TAX SAVINGS SUMMARY</t>
  </si>
  <si>
    <t>Total Lifetime Tax Savings (PV over 13 yrs)</t>
  </si>
  <si>
    <t>Annual savings × planning horizon (simplified lifetime estimate)</t>
  </si>
  <si>
    <t>ESTATE PLAN  —  Net Estate Value &amp; Wealth Transfer Strategy</t>
  </si>
  <si>
    <t>GROSS ESTATE VALUE AT RETIREMENT</t>
  </si>
  <si>
    <t>Source / Notes</t>
  </si>
  <si>
    <t>Projected Investment Portfolio</t>
  </si>
  <si>
    <t>From Portfolio sheet — retirement value</t>
  </si>
  <si>
    <t>Projected RRSP/RRIF Balance</t>
  </si>
  <si>
    <t>From Tax Plan — RRSP projection</t>
  </si>
  <si>
    <t>TFSA Balance (Projected)</t>
  </si>
  <si>
    <t>FV of TFSA</t>
  </si>
  <si>
    <t>Primary Residence</t>
  </si>
  <si>
    <t>Inflation-adjusted property value</t>
  </si>
  <si>
    <t>Corporate Holdco (Net)</t>
  </si>
  <si>
    <t>Holdco grown at corporate rate</t>
  </si>
  <si>
    <t>Life Insurance Death Benefit</t>
  </si>
  <si>
    <t>Face value policy payout</t>
  </si>
  <si>
    <t>Gross Estate Value</t>
  </si>
  <si>
    <t>ESTATE LIABILITIES &amp; TAX ON DEATH</t>
  </si>
  <si>
    <t>Deemed Disposition Tax (RRSP/RRIF)</t>
  </si>
  <si>
    <t>RRIF fully taxable at death at marginal rate</t>
  </si>
  <si>
    <t>Capital Gains Tax on Portfolio</t>
  </si>
  <si>
    <t>50% inclusion × federal rate on gains</t>
  </si>
  <si>
    <t>Probate Fees (Ontario, est.)</t>
  </si>
  <si>
    <t>~1.5% of estate value in Ontario</t>
  </si>
  <si>
    <t>Outstanding Liabilities</t>
  </si>
  <si>
    <t>Assumed debt-free at retirement</t>
  </si>
  <si>
    <t>Net Estate Value to Beneficiaries</t>
  </si>
  <si>
    <t>WEALTH TRANSFER VEHICLES</t>
  </si>
  <si>
    <t>Vehicle</t>
  </si>
  <si>
    <t>Status</t>
  </si>
  <si>
    <t>Rationale</t>
  </si>
  <si>
    <t>Testamentary Trust</t>
  </si>
  <si>
    <t>Splits income among beneficiaries; reduces tax on estate income</t>
  </si>
  <si>
    <t>Spousal RRSP Rollover</t>
  </si>
  <si>
    <t>Tax-deferred transfer to surviving spouse at death</t>
  </si>
  <si>
    <t>Beneficiary Designation (TFSA/RRSP)</t>
  </si>
  <si>
    <t>Avoids probate; direct transfer to named beneficiary</t>
  </si>
  <si>
    <t>Charitable Remainder Trust</t>
  </si>
  <si>
    <t>Consider</t>
  </si>
  <si>
    <t>Ongoing charitable giving + income stream to client</t>
  </si>
  <si>
    <t>Holding Company Estate Freeze</t>
  </si>
  <si>
    <t>Lock in current Holdco value; future growth to children</t>
  </si>
  <si>
    <t>Life Insurance (Tax-Free Payout)</t>
  </si>
  <si>
    <t>$1.2M death benefit passes tax-free to beneficiaries</t>
  </si>
  <si>
    <t>WEALTH PLAN SUMMARY DASHBOARD  —  Robert &amp; Sandra Mitchell  |  March 2026</t>
  </si>
  <si>
    <t>PORTFOLIO &amp; GROWTH</t>
  </si>
  <si>
    <t>Metric</t>
  </si>
  <si>
    <t>Value</t>
  </si>
  <si>
    <t>Benchmark / Note</t>
  </si>
  <si>
    <t>Starting Portfolio Value (2026)</t>
  </si>
  <si>
    <t>Client baseline</t>
  </si>
  <si>
    <t>Projected Portfolio at Retirement</t>
  </si>
  <si>
    <t>Target: $5M+</t>
  </si>
  <si>
    <t>Real Value at Retirement (2039 $)</t>
  </si>
  <si>
    <t>Purchasing power adjusted</t>
  </si>
  <si>
    <t>Total Contributions (13 Years)</t>
  </si>
  <si>
    <t>Regular annual savings</t>
  </si>
  <si>
    <t>Net of MER</t>
  </si>
  <si>
    <t>Portfolio CAGR (Net of Fees)</t>
  </si>
  <si>
    <t>Target: 6.0%+</t>
  </si>
  <si>
    <t>Blended Net Return (Annual)</t>
  </si>
  <si>
    <t>Weighted allocation return</t>
  </si>
  <si>
    <t>RETIREMENT INCOME ADEQUACY</t>
  </si>
  <si>
    <t>Funding Ratio</t>
  </si>
  <si>
    <t>Income Replacement Rate</t>
  </si>
  <si>
    <t>Portfolio Sustains (Years Est.)</t>
  </si>
  <si>
    <t>TAX &amp; ESTATE SUMMARY</t>
  </si>
  <si>
    <t>Annual Tax Savings (All Strategies)</t>
  </si>
  <si>
    <t>Lifetime Tax Savings (Est.)</t>
  </si>
  <si>
    <t>Projected RRSP Value at Retirement</t>
  </si>
  <si>
    <t>Net Estate to Beneficiaries</t>
  </si>
  <si>
    <t>Life Insurance Coverage</t>
  </si>
  <si>
    <t>ADVISOR RECOMMENDATION</t>
  </si>
  <si>
    <t>Based on this comprehensive analysis, the Mitchell household is on track to achieve a fully-funded retirement with a projected funding ratio above 100%, a net estate exceeding $7M, and annual tax savings of over $50,000 through disciplined RRSP maximization, TFSA utilization, corporate structuring, and charitable giving. The recommended multi-asset allocation (45% equities / 25% fixed income / 20% alternatives / 10% cash) is designed to generate a 6.2%+ blended net return while maintaining appropriate liquidity and downside protection consistent with a Balanced Growth risk profile.</t>
  </si>
  <si>
    <t xml:space="preserve"> Recommended</t>
  </si>
  <si>
    <t xml:space="preserve"> In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</si>
</sst>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4" formatCode="\$#,##0"/>
    <numFmt numFmtId="165" formatCode="0.0%"/>
    <numFmt numFmtId="166" formatCode="0.000%"/>
    <numFmt numFmtId="167" formatCode="\$#,##0;&quot;($&quot;#,##0\);\-"/>
    <numFmt numFmtId="168" formatCode="0.0%;\(0.0%\);\-"/>
    <numFmt numFmtId="169" formatCode="0.0"/>
  </numFmts>
  <fonts count="15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A1A1A"/>
      <name val="Arial"/>
      <charset val="1"/>
    </font>
    <font>
      <sz val="10"/>
      <color rgb="FF1A1A1A"/>
      <name val="Arial"/>
      <charset val="1"/>
    </font>
    <font>
      <sz val="10"/>
      <color rgb="FF008000"/>
      <name val="Arial"/>
      <charset val="1"/>
    </font>
    <font>
      <i/>
      <sz val="9"/>
      <color rgb="FF4A4A4A"/>
      <name val="Arial"/>
      <charset val="1"/>
    </font>
    <font>
      <sz val="10"/>
      <color rgb="FF0000FF"/>
      <name val="Arial"/>
      <charset val="1"/>
    </font>
    <font>
      <i/>
      <sz val="8"/>
      <color rgb="FF757575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sz val="9"/>
      <color rgb="FF4A4A4A"/>
      <name val="Arial"/>
      <charset val="1"/>
    </font>
    <font>
      <b/>
      <sz val="10"/>
      <color rgb="FF008000"/>
      <name val="Arial"/>
      <charset val="1"/>
    </font>
    <font>
      <i/>
      <sz val="10"/>
      <color rgb="FF1A1A1A"/>
      <name val="Arial"/>
      <charset val="1"/>
    </font>
    <font>
      <b/>
      <sz val="10"/>
      <color rgb="FF1A1A1A"/>
      <name val="Arial"/>
      <family val="2"/>
    </font>
    <font>
      <sz val="10"/>
      <color rgb="FF1A1A1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5F8A"/>
        <bgColor rgb="FF4A4A4A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D6E4F0"/>
        <bgColor rgb="FFE8F5E9"/>
      </patternFill>
    </fill>
    <fill>
      <patternFill patternType="solid">
        <fgColor rgb="FFFFFDE7"/>
        <bgColor rgb="FFFFFFFF"/>
      </patternFill>
    </fill>
    <fill>
      <patternFill patternType="solid">
        <fgColor rgb="FFE8F5E9"/>
        <bgColor rgb="FFF5F5F5"/>
      </patternFill>
    </fill>
  </fills>
  <borders count="6">
    <border>
      <left/>
      <right/>
      <top/>
      <bottom/>
      <diagonal/>
    </border>
    <border>
      <left style="thin">
        <color rgb="FF1B3A5C"/>
      </left>
      <right/>
      <top style="thin">
        <color rgb="FF1B3A5C"/>
      </top>
      <bottom style="thin">
        <color rgb="FF1B3A5C"/>
      </bottom>
      <diagonal/>
    </border>
    <border>
      <left style="thin">
        <color rgb="FF2E5F8A"/>
      </left>
      <right/>
      <top style="thin">
        <color rgb="FF2E5F8A"/>
      </top>
      <bottom style="thin">
        <color rgb="FF2E5F8A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2E5F8A"/>
      </left>
      <right style="thin">
        <color rgb="FF2E5F8A"/>
      </right>
      <top style="thin">
        <color rgb="FF2E5F8A"/>
      </top>
      <bottom style="thin">
        <color rgb="FF2E5F8A"/>
      </bottom>
      <diagonal/>
    </border>
    <border>
      <left style="thin">
        <color rgb="FFBDBDBD"/>
      </left>
      <right/>
      <top style="thin">
        <color rgb="FFBDBDBD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2" fillId="0" borderId="5" xfId="0" applyFont="1" applyBorder="1" applyAlignment="1">
      <alignment horizontal="left" vertical="top" wrapText="1" indent="1"/>
    </xf>
    <xf numFmtId="0" fontId="1" fillId="3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left" vertical="center" indent="1"/>
    </xf>
    <xf numFmtId="0" fontId="2" fillId="4" borderId="3" xfId="0" applyFont="1" applyFill="1" applyBorder="1" applyAlignment="1">
      <alignment horizontal="left" vertical="center" indent="1"/>
    </xf>
    <xf numFmtId="0" fontId="3" fillId="5" borderId="3" xfId="0" applyFont="1" applyFill="1" applyBorder="1" applyAlignment="1">
      <alignment horizontal="left" vertical="center" indent="1"/>
    </xf>
    <xf numFmtId="164" fontId="4" fillId="6" borderId="3" xfId="0" applyNumberFormat="1" applyFont="1" applyFill="1" applyBorder="1" applyAlignment="1">
      <alignment horizontal="right" vertical="center"/>
    </xf>
    <xf numFmtId="10" fontId="4" fillId="6" borderId="3" xfId="0" applyNumberFormat="1" applyFont="1" applyFill="1" applyBorder="1" applyAlignment="1">
      <alignment horizontal="right" vertical="center"/>
    </xf>
    <xf numFmtId="165" fontId="4" fillId="6" borderId="3" xfId="0" applyNumberFormat="1" applyFont="1" applyFill="1" applyBorder="1" applyAlignment="1">
      <alignment horizontal="right" vertical="center"/>
    </xf>
    <xf numFmtId="0" fontId="3" fillId="4" borderId="3" xfId="0" applyFont="1" applyFill="1" applyBorder="1" applyAlignment="1">
      <alignment horizontal="left" vertical="center" indent="1"/>
    </xf>
    <xf numFmtId="1" fontId="6" fillId="7" borderId="3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 indent="1"/>
    </xf>
    <xf numFmtId="1" fontId="8" fillId="5" borderId="3" xfId="0" applyNumberFormat="1" applyFont="1" applyFill="1" applyBorder="1" applyAlignment="1">
      <alignment horizontal="right" vertical="center"/>
    </xf>
    <xf numFmtId="164" fontId="6" fillId="7" borderId="3" xfId="0" applyNumberFormat="1" applyFont="1" applyFill="1" applyBorder="1" applyAlignment="1">
      <alignment horizontal="right" vertical="center"/>
    </xf>
    <xf numFmtId="164" fontId="8" fillId="5" borderId="3" xfId="0" applyNumberFormat="1" applyFont="1" applyFill="1" applyBorder="1" applyAlignment="1">
      <alignment horizontal="right" vertical="center"/>
    </xf>
    <xf numFmtId="165" fontId="6" fillId="7" borderId="3" xfId="0" applyNumberFormat="1" applyFont="1" applyFill="1" applyBorder="1" applyAlignment="1">
      <alignment horizontal="right" vertical="center"/>
    </xf>
    <xf numFmtId="165" fontId="8" fillId="5" borderId="3" xfId="0" applyNumberFormat="1" applyFont="1" applyFill="1" applyBorder="1" applyAlignment="1">
      <alignment horizontal="right" vertical="center"/>
    </xf>
    <xf numFmtId="10" fontId="6" fillId="7" borderId="3" xfId="0" applyNumberFormat="1" applyFont="1" applyFill="1" applyBorder="1" applyAlignment="1">
      <alignment horizontal="right" vertical="center"/>
    </xf>
    <xf numFmtId="166" fontId="8" fillId="5" borderId="3" xfId="0" applyNumberFormat="1" applyFont="1" applyFill="1" applyBorder="1" applyAlignment="1">
      <alignment horizontal="right" vertical="center"/>
    </xf>
    <xf numFmtId="166" fontId="9" fillId="6" borderId="3" xfId="0" applyNumberFormat="1" applyFon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167" fontId="4" fillId="6" borderId="3" xfId="0" applyNumberFormat="1" applyFont="1" applyFill="1" applyBorder="1" applyAlignment="1">
      <alignment horizontal="right" vertical="center"/>
    </xf>
    <xf numFmtId="167" fontId="8" fillId="5" borderId="3" xfId="0" applyNumberFormat="1" applyFont="1" applyFill="1" applyBorder="1" applyAlignment="1">
      <alignment horizontal="right" vertical="center"/>
    </xf>
    <xf numFmtId="167" fontId="9" fillId="6" borderId="3" xfId="0" applyNumberFormat="1" applyFont="1" applyFill="1" applyBorder="1" applyAlignment="1">
      <alignment horizontal="right" vertical="center"/>
    </xf>
    <xf numFmtId="10" fontId="8" fillId="5" borderId="3" xfId="0" applyNumberFormat="1" applyFont="1" applyFill="1" applyBorder="1" applyAlignment="1">
      <alignment horizontal="right" vertical="center"/>
    </xf>
    <xf numFmtId="164" fontId="8" fillId="6" borderId="3" xfId="0" applyNumberFormat="1" applyFont="1" applyFill="1" applyBorder="1" applyAlignment="1">
      <alignment horizontal="right" vertical="center"/>
    </xf>
    <xf numFmtId="10" fontId="8" fillId="6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 indent="1"/>
    </xf>
    <xf numFmtId="167" fontId="6" fillId="7" borderId="3" xfId="0" applyNumberFormat="1" applyFont="1" applyFill="1" applyBorder="1" applyAlignment="1">
      <alignment horizontal="right" vertical="center"/>
    </xf>
    <xf numFmtId="0" fontId="7" fillId="6" borderId="3" xfId="0" applyFont="1" applyFill="1" applyBorder="1" applyAlignment="1">
      <alignment horizontal="left" vertical="center" indent="1"/>
    </xf>
    <xf numFmtId="168" fontId="9" fillId="6" borderId="3" xfId="0" applyNumberFormat="1" applyFont="1" applyFill="1" applyBorder="1" applyAlignment="1">
      <alignment horizontal="right" vertical="center"/>
    </xf>
    <xf numFmtId="169" fontId="8" fillId="5" borderId="3" xfId="0" applyNumberFormat="1" applyFont="1" applyFill="1" applyBorder="1" applyAlignment="1">
      <alignment horizontal="right" vertical="center"/>
    </xf>
    <xf numFmtId="0" fontId="7" fillId="5" borderId="3" xfId="0" applyFont="1" applyFill="1" applyBorder="1" applyAlignment="1">
      <alignment horizontal="left" vertical="center" wrapText="1" indent="1"/>
    </xf>
    <xf numFmtId="0" fontId="10" fillId="5" borderId="3" xfId="0" applyFont="1" applyFill="1" applyBorder="1" applyAlignment="1">
      <alignment horizontal="left" vertical="center" wrapText="1" indent="1"/>
    </xf>
    <xf numFmtId="164" fontId="4" fillId="5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left" vertical="center" indent="1"/>
    </xf>
    <xf numFmtId="164" fontId="11" fillId="6" borderId="3" xfId="0" applyNumberFormat="1" applyFont="1" applyFill="1" applyBorder="1" applyAlignment="1">
      <alignment horizontal="right" vertical="center"/>
    </xf>
    <xf numFmtId="10" fontId="11" fillId="6" borderId="3" xfId="0" applyNumberFormat="1" applyFont="1" applyFill="1" applyBorder="1" applyAlignment="1">
      <alignment horizontal="right" vertical="center"/>
    </xf>
    <xf numFmtId="166" fontId="4" fillId="5" borderId="3" xfId="0" applyNumberFormat="1" applyFont="1" applyFill="1" applyBorder="1" applyAlignment="1">
      <alignment horizontal="right" vertical="center"/>
    </xf>
    <xf numFmtId="167" fontId="11" fillId="6" borderId="3" xfId="0" applyNumberFormat="1" applyFont="1" applyFill="1" applyBorder="1" applyAlignment="1">
      <alignment horizontal="right" vertical="center"/>
    </xf>
    <xf numFmtId="165" fontId="11" fillId="6" borderId="3" xfId="0" applyNumberFormat="1" applyFont="1" applyFill="1" applyBorder="1" applyAlignment="1">
      <alignment horizontal="right" vertical="center"/>
    </xf>
    <xf numFmtId="165" fontId="4" fillId="5" borderId="3" xfId="0" applyNumberFormat="1" applyFont="1" applyFill="1" applyBorder="1" applyAlignment="1">
      <alignment horizontal="right" vertical="center"/>
    </xf>
    <xf numFmtId="169" fontId="4" fillId="5" borderId="3" xfId="0" applyNumberFormat="1" applyFont="1" applyFill="1" applyBorder="1" applyAlignment="1">
      <alignment horizontal="right" vertical="center"/>
    </xf>
    <xf numFmtId="6" fontId="3" fillId="5" borderId="3" xfId="0" applyNumberFormat="1" applyFont="1" applyFill="1" applyBorder="1" applyAlignment="1">
      <alignment horizontal="left" vertical="center" indent="1"/>
    </xf>
    <xf numFmtId="0" fontId="13" fillId="8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DE7"/>
      <rgbColor rgb="FFE8F5E9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969696"/>
      <rgbColor rgb="FF1B3A5C"/>
      <rgbColor rgb="FF339966"/>
      <rgbColor rgb="FF003300"/>
      <rgbColor rgb="FF1A1A1A"/>
      <rgbColor rgb="FF993300"/>
      <rgbColor rgb="FF993366"/>
      <rgbColor rgb="FF333399"/>
      <rgbColor rgb="FF4A4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>
      <selection activeCell="G9" sqref="G9"/>
    </sheetView>
  </sheetViews>
  <sheetFormatPr baseColWidth="10" defaultColWidth="8.6640625" defaultRowHeight="15" x14ac:dyDescent="0.2"/>
  <cols>
    <col min="1" max="1" width="3" customWidth="1"/>
    <col min="2" max="2" width="30" customWidth="1"/>
    <col min="3" max="3" width="42" customWidth="1"/>
    <col min="4" max="4" width="20" customWidth="1"/>
    <col min="5" max="5" width="3" customWidth="1"/>
  </cols>
  <sheetData>
    <row r="1" spans="2:4" ht="21.75" customHeight="1" x14ac:dyDescent="0.2">
      <c r="B1" s="5" t="s">
        <v>0</v>
      </c>
      <c r="C1" s="5"/>
      <c r="D1" s="5"/>
    </row>
    <row r="2" spans="2:4" ht="16.5" customHeight="1" x14ac:dyDescent="0.2">
      <c r="B2" s="4" t="s">
        <v>1</v>
      </c>
      <c r="C2" s="4"/>
      <c r="D2" s="4"/>
    </row>
    <row r="3" spans="2:4" ht="9.75" customHeight="1" x14ac:dyDescent="0.2"/>
    <row r="4" spans="2:4" ht="16.5" customHeight="1" x14ac:dyDescent="0.2">
      <c r="B4" s="4" t="s">
        <v>2</v>
      </c>
      <c r="C4" s="4"/>
      <c r="D4" s="4"/>
    </row>
    <row r="5" spans="2:4" ht="16.5" customHeight="1" x14ac:dyDescent="0.2">
      <c r="B5" s="6" t="s">
        <v>3</v>
      </c>
      <c r="C5" s="7" t="s">
        <v>4</v>
      </c>
    </row>
    <row r="6" spans="2:4" ht="16.5" customHeight="1" x14ac:dyDescent="0.2">
      <c r="B6" s="6" t="s">
        <v>5</v>
      </c>
      <c r="C6" s="7" t="s">
        <v>6</v>
      </c>
    </row>
    <row r="7" spans="2:4" ht="16.5" customHeight="1" x14ac:dyDescent="0.2">
      <c r="B7" s="6" t="s">
        <v>7</v>
      </c>
      <c r="C7" s="7" t="s">
        <v>8</v>
      </c>
    </row>
    <row r="8" spans="2:4" ht="16.5" customHeight="1" x14ac:dyDescent="0.2">
      <c r="B8" s="6" t="s">
        <v>9</v>
      </c>
      <c r="C8" s="46">
        <v>2800000</v>
      </c>
    </row>
    <row r="9" spans="2:4" ht="16.5" customHeight="1" x14ac:dyDescent="0.2">
      <c r="B9" s="6" t="s">
        <v>10</v>
      </c>
      <c r="C9" s="46">
        <v>420000</v>
      </c>
    </row>
    <row r="10" spans="2:4" ht="16.5" customHeight="1" x14ac:dyDescent="0.2">
      <c r="B10" s="6" t="s">
        <v>11</v>
      </c>
      <c r="C10" s="7" t="s">
        <v>12</v>
      </c>
    </row>
    <row r="11" spans="2:4" ht="16.5" customHeight="1" x14ac:dyDescent="0.2">
      <c r="B11" s="6" t="s">
        <v>13</v>
      </c>
      <c r="C11" s="7" t="s">
        <v>14</v>
      </c>
    </row>
    <row r="12" spans="2:4" ht="9.75" customHeight="1" x14ac:dyDescent="0.2"/>
    <row r="13" spans="2:4" ht="16.5" customHeight="1" x14ac:dyDescent="0.2">
      <c r="B13" s="4" t="s">
        <v>15</v>
      </c>
      <c r="C13" s="4"/>
      <c r="D13" s="4"/>
    </row>
    <row r="14" spans="2:4" ht="16.5" customHeight="1" x14ac:dyDescent="0.2">
      <c r="B14" s="6" t="s">
        <v>16</v>
      </c>
      <c r="C14" s="8">
        <f>Portfolio!C35</f>
        <v>7710108.7500525415</v>
      </c>
    </row>
    <row r="15" spans="2:4" ht="16.5" customHeight="1" x14ac:dyDescent="0.2">
      <c r="B15" s="6" t="s">
        <v>17</v>
      </c>
      <c r="C15" s="8">
        <f>RetirementPlan!C12</f>
        <v>402172.35000210168</v>
      </c>
    </row>
    <row r="16" spans="2:4" ht="16.5" customHeight="1" x14ac:dyDescent="0.2">
      <c r="B16" s="6" t="s">
        <v>18</v>
      </c>
      <c r="C16" s="8">
        <f>EstatePlan!C18</f>
        <v>14049220.162714643</v>
      </c>
    </row>
    <row r="17" spans="2:4" ht="16.5" customHeight="1" x14ac:dyDescent="0.2">
      <c r="B17" s="6" t="s">
        <v>19</v>
      </c>
      <c r="C17" s="9">
        <f>Assumptions!C39</f>
        <v>6.3750000000000001E-2</v>
      </c>
    </row>
    <row r="18" spans="2:4" ht="16.5" customHeight="1" x14ac:dyDescent="0.2">
      <c r="B18" s="6" t="s">
        <v>20</v>
      </c>
      <c r="C18" s="8">
        <f>TaxPlan!C22</f>
        <v>1018730.8326000002</v>
      </c>
    </row>
    <row r="19" spans="2:4" ht="16.5" customHeight="1" x14ac:dyDescent="0.2">
      <c r="B19" s="6" t="s">
        <v>21</v>
      </c>
      <c r="C19" s="10">
        <f>RetirementPlan!C24</f>
        <v>1.0552962863760886</v>
      </c>
    </row>
    <row r="20" spans="2:4" ht="9.75" customHeight="1" x14ac:dyDescent="0.2"/>
    <row r="21" spans="2:4" ht="16.5" customHeight="1" x14ac:dyDescent="0.2">
      <c r="B21" s="4" t="s">
        <v>22</v>
      </c>
      <c r="C21" s="4"/>
      <c r="D21" s="4"/>
    </row>
    <row r="22" spans="2:4" ht="15.75" customHeight="1" x14ac:dyDescent="0.2">
      <c r="B22" s="3" t="s">
        <v>23</v>
      </c>
      <c r="C22" s="3"/>
      <c r="D22" s="3"/>
    </row>
  </sheetData>
  <mergeCells count="6">
    <mergeCell ref="B22:D22"/>
    <mergeCell ref="B1:D1"/>
    <mergeCell ref="B2:D2"/>
    <mergeCell ref="B4:D4"/>
    <mergeCell ref="B13:D13"/>
    <mergeCell ref="B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48"/>
  <sheetViews>
    <sheetView showGridLines="0" topLeftCell="A21" zoomScaleNormal="100" workbookViewId="0">
      <selection activeCell="C5" sqref="C5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35.33203125" customWidth="1"/>
    <col min="4" max="4" width="50" customWidth="1"/>
    <col min="5" max="5" width="3" customWidth="1"/>
  </cols>
  <sheetData>
    <row r="1" spans="2:4" ht="18" customHeight="1" x14ac:dyDescent="0.2">
      <c r="B1" s="5" t="s">
        <v>24</v>
      </c>
      <c r="C1" s="5"/>
    </row>
    <row r="2" spans="2:4" ht="16.5" customHeight="1" x14ac:dyDescent="0.2">
      <c r="B2" s="2" t="s">
        <v>25</v>
      </c>
      <c r="C2" s="2"/>
    </row>
    <row r="3" spans="2:4" ht="16.5" customHeight="1" x14ac:dyDescent="0.2">
      <c r="B3" s="11" t="s">
        <v>26</v>
      </c>
      <c r="C3" s="12">
        <v>52</v>
      </c>
      <c r="D3" s="13" t="s">
        <v>27</v>
      </c>
    </row>
    <row r="4" spans="2:4" ht="16.5" customHeight="1" x14ac:dyDescent="0.2">
      <c r="B4" s="11" t="s">
        <v>28</v>
      </c>
      <c r="C4" s="12">
        <v>65</v>
      </c>
      <c r="D4" s="13" t="s">
        <v>29</v>
      </c>
    </row>
    <row r="5" spans="2:4" ht="16.5" customHeight="1" x14ac:dyDescent="0.2">
      <c r="B5" s="11" t="s">
        <v>30</v>
      </c>
      <c r="C5" s="14">
        <f>C4-C3</f>
        <v>13</v>
      </c>
      <c r="D5" s="13" t="s">
        <v>31</v>
      </c>
    </row>
    <row r="6" spans="2:4" ht="16.5" customHeight="1" x14ac:dyDescent="0.2">
      <c r="B6" s="11" t="s">
        <v>32</v>
      </c>
      <c r="C6" s="15">
        <v>2800000</v>
      </c>
      <c r="D6" s="13" t="s">
        <v>33</v>
      </c>
    </row>
    <row r="7" spans="2:4" ht="16.5" customHeight="1" x14ac:dyDescent="0.2">
      <c r="B7" s="11" t="s">
        <v>34</v>
      </c>
      <c r="C7" s="15">
        <v>420000</v>
      </c>
      <c r="D7" s="13" t="s">
        <v>35</v>
      </c>
    </row>
    <row r="8" spans="2:4" ht="16.5" customHeight="1" x14ac:dyDescent="0.2">
      <c r="B8" s="11" t="s">
        <v>36</v>
      </c>
      <c r="C8" s="15">
        <v>180000</v>
      </c>
      <c r="D8" s="13" t="s">
        <v>37</v>
      </c>
    </row>
    <row r="9" spans="2:4" ht="16.5" customHeight="1" x14ac:dyDescent="0.2">
      <c r="B9" s="11" t="s">
        <v>38</v>
      </c>
      <c r="C9" s="16">
        <f>C7-C8-C10</f>
        <v>46128</v>
      </c>
      <c r="D9" s="13" t="s">
        <v>39</v>
      </c>
    </row>
    <row r="10" spans="2:4" ht="16.5" customHeight="1" x14ac:dyDescent="0.2">
      <c r="B10" s="11" t="s">
        <v>40</v>
      </c>
      <c r="C10" s="16">
        <f>C7*C14</f>
        <v>193872</v>
      </c>
      <c r="D10" s="13" t="s">
        <v>41</v>
      </c>
    </row>
    <row r="11" spans="2:4" ht="16.5" customHeight="1" x14ac:dyDescent="0.2">
      <c r="B11" s="4" t="s">
        <v>42</v>
      </c>
      <c r="C11" s="4"/>
    </row>
    <row r="12" spans="2:4" ht="16.5" customHeight="1" x14ac:dyDescent="0.2">
      <c r="B12" s="11" t="s">
        <v>43</v>
      </c>
      <c r="C12" s="17">
        <v>0.33</v>
      </c>
      <c r="D12" s="13" t="s">
        <v>44</v>
      </c>
    </row>
    <row r="13" spans="2:4" ht="16.5" customHeight="1" x14ac:dyDescent="0.2">
      <c r="B13" s="11" t="s">
        <v>45</v>
      </c>
      <c r="C13" s="17">
        <v>0.13159999999999999</v>
      </c>
      <c r="D13" s="13" t="s">
        <v>46</v>
      </c>
    </row>
    <row r="14" spans="2:4" ht="16.5" customHeight="1" x14ac:dyDescent="0.2">
      <c r="B14" s="11" t="s">
        <v>47</v>
      </c>
      <c r="C14" s="18">
        <f>C12+C13</f>
        <v>0.46160000000000001</v>
      </c>
      <c r="D14" s="13" t="s">
        <v>48</v>
      </c>
    </row>
    <row r="15" spans="2:4" ht="16.5" customHeight="1" x14ac:dyDescent="0.2">
      <c r="B15" s="11" t="s">
        <v>49</v>
      </c>
      <c r="C15" s="17">
        <v>0.5</v>
      </c>
      <c r="D15" s="13" t="s">
        <v>50</v>
      </c>
    </row>
    <row r="16" spans="2:4" ht="16.5" customHeight="1" x14ac:dyDescent="0.2">
      <c r="B16" s="11" t="s">
        <v>51</v>
      </c>
      <c r="C16" s="15">
        <v>31560</v>
      </c>
      <c r="D16" s="13" t="s">
        <v>52</v>
      </c>
    </row>
    <row r="17" spans="2:4" ht="16.5" customHeight="1" x14ac:dyDescent="0.2">
      <c r="B17" s="11" t="s">
        <v>53</v>
      </c>
      <c r="C17" s="15">
        <v>7000</v>
      </c>
      <c r="D17" s="13" t="s">
        <v>54</v>
      </c>
    </row>
    <row r="18" spans="2:4" ht="16.5" customHeight="1" x14ac:dyDescent="0.2">
      <c r="B18" s="11" t="s">
        <v>55</v>
      </c>
      <c r="C18" s="17">
        <v>0.125</v>
      </c>
      <c r="D18" s="13" t="s">
        <v>56</v>
      </c>
    </row>
    <row r="19" spans="2:4" ht="6" customHeight="1" x14ac:dyDescent="0.2"/>
    <row r="20" spans="2:4" ht="16.5" customHeight="1" x14ac:dyDescent="0.2">
      <c r="B20" s="4" t="s">
        <v>57</v>
      </c>
      <c r="C20" s="4"/>
    </row>
    <row r="21" spans="2:4" ht="16.5" customHeight="1" x14ac:dyDescent="0.2">
      <c r="B21" s="11" t="s">
        <v>58</v>
      </c>
      <c r="C21" s="17">
        <v>0.45</v>
      </c>
      <c r="D21" s="13" t="s">
        <v>59</v>
      </c>
    </row>
    <row r="22" spans="2:4" ht="16.5" customHeight="1" x14ac:dyDescent="0.2">
      <c r="B22" s="11" t="s">
        <v>60</v>
      </c>
      <c r="C22" s="17">
        <v>0.25</v>
      </c>
      <c r="D22" s="13" t="s">
        <v>61</v>
      </c>
    </row>
    <row r="23" spans="2:4" ht="16.5" customHeight="1" x14ac:dyDescent="0.2">
      <c r="B23" s="11" t="s">
        <v>62</v>
      </c>
      <c r="C23" s="17">
        <v>0.2</v>
      </c>
      <c r="D23" s="13" t="s">
        <v>63</v>
      </c>
    </row>
    <row r="24" spans="2:4" ht="16.5" customHeight="1" x14ac:dyDescent="0.2">
      <c r="B24" s="11" t="s">
        <v>64</v>
      </c>
      <c r="C24" s="17">
        <v>0.1</v>
      </c>
      <c r="D24" s="13" t="s">
        <v>65</v>
      </c>
    </row>
    <row r="25" spans="2:4" ht="16.5" customHeight="1" x14ac:dyDescent="0.2">
      <c r="B25" s="11" t="s">
        <v>66</v>
      </c>
      <c r="C25" s="17">
        <v>8.5000000000000006E-2</v>
      </c>
      <c r="D25" s="13" t="s">
        <v>67</v>
      </c>
    </row>
    <row r="26" spans="2:4" ht="16.5" customHeight="1" x14ac:dyDescent="0.2">
      <c r="B26" s="11" t="s">
        <v>68</v>
      </c>
      <c r="C26" s="17">
        <v>4.2000000000000003E-2</v>
      </c>
      <c r="D26" s="13" t="s">
        <v>69</v>
      </c>
    </row>
    <row r="27" spans="2:4" ht="16.5" customHeight="1" x14ac:dyDescent="0.2">
      <c r="B27" s="11" t="s">
        <v>70</v>
      </c>
      <c r="C27" s="17">
        <v>9.5000000000000001E-2</v>
      </c>
      <c r="D27" s="13" t="s">
        <v>71</v>
      </c>
    </row>
    <row r="28" spans="2:4" ht="16.5" customHeight="1" x14ac:dyDescent="0.2">
      <c r="B28" s="11" t="s">
        <v>72</v>
      </c>
      <c r="C28" s="17">
        <v>4.4999999999999998E-2</v>
      </c>
      <c r="D28" s="13" t="s">
        <v>73</v>
      </c>
    </row>
    <row r="29" spans="2:4" ht="16.5" customHeight="1" x14ac:dyDescent="0.2">
      <c r="B29" s="11" t="s">
        <v>74</v>
      </c>
      <c r="C29" s="19">
        <v>8.5000000000000006E-3</v>
      </c>
      <c r="D29" s="13" t="s">
        <v>75</v>
      </c>
    </row>
    <row r="30" spans="2:4" ht="16.5" customHeight="1" x14ac:dyDescent="0.2">
      <c r="B30" s="11" t="s">
        <v>76</v>
      </c>
      <c r="C30" s="17">
        <v>2.5000000000000001E-2</v>
      </c>
      <c r="D30" s="13" t="s">
        <v>77</v>
      </c>
    </row>
    <row r="31" spans="2:4" ht="6" customHeight="1" x14ac:dyDescent="0.2"/>
    <row r="32" spans="2:4" ht="16.5" customHeight="1" x14ac:dyDescent="0.2">
      <c r="B32" s="4" t="s">
        <v>78</v>
      </c>
      <c r="C32" s="4"/>
    </row>
    <row r="33" spans="2:4" ht="16.5" customHeight="1" x14ac:dyDescent="0.2">
      <c r="B33" s="11" t="s">
        <v>79</v>
      </c>
      <c r="C33" s="20">
        <f>C21*C25</f>
        <v>3.8250000000000006E-2</v>
      </c>
      <c r="D33" s="13" t="s">
        <v>80</v>
      </c>
    </row>
    <row r="34" spans="2:4" ht="16.5" customHeight="1" x14ac:dyDescent="0.2">
      <c r="B34" s="11" t="s">
        <v>81</v>
      </c>
      <c r="C34" s="20">
        <f>C22*C26</f>
        <v>1.0500000000000001E-2</v>
      </c>
      <c r="D34" s="13" t="s">
        <v>80</v>
      </c>
    </row>
    <row r="35" spans="2:4" ht="16.5" customHeight="1" x14ac:dyDescent="0.2">
      <c r="B35" s="11" t="s">
        <v>82</v>
      </c>
      <c r="C35" s="20">
        <f>C23*C27</f>
        <v>1.9000000000000003E-2</v>
      </c>
      <c r="D35" s="13" t="s">
        <v>80</v>
      </c>
    </row>
    <row r="36" spans="2:4" ht="16.5" customHeight="1" x14ac:dyDescent="0.2">
      <c r="B36" s="11" t="s">
        <v>83</v>
      </c>
      <c r="C36" s="20">
        <f>C24*C28</f>
        <v>4.4999999999999997E-3</v>
      </c>
      <c r="D36" s="13" t="s">
        <v>80</v>
      </c>
    </row>
    <row r="37" spans="2:4" ht="16.5" customHeight="1" x14ac:dyDescent="0.2">
      <c r="B37" s="11" t="s">
        <v>84</v>
      </c>
      <c r="C37" s="20">
        <f>C33+C34+C35+C36</f>
        <v>7.2250000000000009E-2</v>
      </c>
      <c r="D37" s="13" t="s">
        <v>85</v>
      </c>
    </row>
    <row r="38" spans="2:4" ht="16.5" customHeight="1" x14ac:dyDescent="0.2">
      <c r="B38" s="11" t="s">
        <v>86</v>
      </c>
      <c r="C38" s="20">
        <f>-C29</f>
        <v>-8.5000000000000006E-3</v>
      </c>
      <c r="D38" s="13" t="s">
        <v>87</v>
      </c>
    </row>
    <row r="39" spans="2:4" ht="16.5" customHeight="1" x14ac:dyDescent="0.2">
      <c r="B39" s="6" t="s">
        <v>88</v>
      </c>
      <c r="C39" s="21">
        <f>C37+C38</f>
        <v>6.3750000000000001E-2</v>
      </c>
    </row>
    <row r="40" spans="2:4" ht="6" customHeight="1" x14ac:dyDescent="0.2"/>
    <row r="41" spans="2:4" ht="16.5" customHeight="1" x14ac:dyDescent="0.2">
      <c r="B41" s="4" t="s">
        <v>89</v>
      </c>
      <c r="C41" s="4"/>
    </row>
    <row r="42" spans="2:4" ht="16.5" customHeight="1" x14ac:dyDescent="0.2">
      <c r="B42" s="11" t="s">
        <v>90</v>
      </c>
      <c r="C42" s="15">
        <v>1200000</v>
      </c>
      <c r="D42" s="13" t="s">
        <v>91</v>
      </c>
    </row>
    <row r="43" spans="2:4" ht="16.5" customHeight="1" x14ac:dyDescent="0.2">
      <c r="B43" s="11" t="s">
        <v>92</v>
      </c>
      <c r="C43" s="15">
        <v>18500</v>
      </c>
      <c r="D43" s="13" t="s">
        <v>93</v>
      </c>
    </row>
    <row r="44" spans="2:4" ht="16.5" customHeight="1" x14ac:dyDescent="0.2">
      <c r="B44" s="11" t="s">
        <v>94</v>
      </c>
      <c r="C44" s="15">
        <v>385000</v>
      </c>
      <c r="D44" s="13" t="s">
        <v>95</v>
      </c>
    </row>
    <row r="45" spans="2:4" ht="16.5" customHeight="1" x14ac:dyDescent="0.2">
      <c r="B45" s="11" t="s">
        <v>96</v>
      </c>
      <c r="C45" s="15">
        <v>95000</v>
      </c>
      <c r="D45" s="13" t="s">
        <v>97</v>
      </c>
    </row>
    <row r="46" spans="2:4" ht="16.5" customHeight="1" x14ac:dyDescent="0.2">
      <c r="B46" s="11" t="s">
        <v>98</v>
      </c>
      <c r="C46" s="15">
        <v>1850000</v>
      </c>
      <c r="D46" s="13" t="s">
        <v>99</v>
      </c>
    </row>
    <row r="47" spans="2:4" ht="16.5" customHeight="1" x14ac:dyDescent="0.2">
      <c r="B47" s="11" t="s">
        <v>100</v>
      </c>
      <c r="C47" s="15">
        <v>15000</v>
      </c>
      <c r="D47" s="13" t="s">
        <v>101</v>
      </c>
    </row>
    <row r="48" spans="2:4" ht="16.5" customHeight="1" x14ac:dyDescent="0.2">
      <c r="B48" s="11" t="s">
        <v>102</v>
      </c>
      <c r="C48" s="15">
        <v>620000</v>
      </c>
      <c r="D48" s="13" t="s">
        <v>103</v>
      </c>
    </row>
  </sheetData>
  <mergeCells count="6">
    <mergeCell ref="B41:C41"/>
    <mergeCell ref="B1:C1"/>
    <mergeCell ref="B2:C2"/>
    <mergeCell ref="B11:C11"/>
    <mergeCell ref="B20:C20"/>
    <mergeCell ref="B32:C3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35"/>
  <sheetViews>
    <sheetView showGridLines="0" zoomScaleNormal="100" workbookViewId="0">
      <selection activeCell="C10" sqref="C10"/>
    </sheetView>
  </sheetViews>
  <sheetFormatPr baseColWidth="10" defaultColWidth="8.6640625" defaultRowHeight="15" x14ac:dyDescent="0.2"/>
  <cols>
    <col min="1" max="1" width="3" customWidth="1"/>
    <col min="2" max="2" width="42.33203125" customWidth="1"/>
    <col min="3" max="15" width="12" customWidth="1"/>
    <col min="16" max="16" width="18.83203125" customWidth="1"/>
    <col min="17" max="17" width="3" customWidth="1"/>
  </cols>
  <sheetData>
    <row r="1" spans="2:16" ht="18" customHeight="1" x14ac:dyDescent="0.2">
      <c r="B1" s="5" t="s">
        <v>104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2:16" ht="6" customHeight="1" x14ac:dyDescent="0.2"/>
    <row r="3" spans="2:16" ht="45" customHeight="1" x14ac:dyDescent="0.2">
      <c r="B3" s="22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  <c r="K3" s="23" t="s">
        <v>114</v>
      </c>
      <c r="L3" s="23" t="s">
        <v>115</v>
      </c>
      <c r="M3" s="23" t="s">
        <v>116</v>
      </c>
      <c r="N3" s="23" t="s">
        <v>117</v>
      </c>
      <c r="O3" s="23" t="s">
        <v>118</v>
      </c>
      <c r="P3" s="23" t="s">
        <v>119</v>
      </c>
    </row>
    <row r="4" spans="2:16" ht="16.5" customHeight="1" x14ac:dyDescent="0.2">
      <c r="B4" s="4" t="s">
        <v>120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2:16" ht="16.5" customHeight="1" x14ac:dyDescent="0.2">
      <c r="B5" s="6" t="s">
        <v>121</v>
      </c>
      <c r="C5" s="24">
        <f>Assumptions!C6</f>
        <v>2800000</v>
      </c>
      <c r="D5" s="25">
        <f t="shared" ref="D5:P5" si="0">C9</f>
        <v>3027568.66</v>
      </c>
      <c r="E5" s="25">
        <f t="shared" si="0"/>
        <v>3269644.822075</v>
      </c>
      <c r="F5" s="25">
        <f t="shared" si="0"/>
        <v>3527153.3394822814</v>
      </c>
      <c r="G5" s="25">
        <f t="shared" si="0"/>
        <v>3801078.0248742769</v>
      </c>
      <c r="H5" s="25">
        <f t="shared" si="0"/>
        <v>4092465.4089600123</v>
      </c>
      <c r="I5" s="25">
        <f t="shared" si="0"/>
        <v>4402428.7387812138</v>
      </c>
      <c r="J5" s="25">
        <f>I9</f>
        <v>4732152.2308785161</v>
      </c>
      <c r="K5" s="25">
        <f t="shared" si="0"/>
        <v>5082895.5955970222</v>
      </c>
      <c r="L5" s="25">
        <f t="shared" si="0"/>
        <v>5455998.8498163326</v>
      </c>
      <c r="M5" s="25">
        <f t="shared" si="0"/>
        <v>5852887.4364921236</v>
      </c>
      <c r="N5" s="25">
        <f t="shared" si="0"/>
        <v>6275077.6705684969</v>
      </c>
      <c r="O5" s="25">
        <f t="shared" si="0"/>
        <v>6724182.5320672384</v>
      </c>
      <c r="P5" s="25">
        <f t="shared" si="0"/>
        <v>7201917.8284865255</v>
      </c>
    </row>
    <row r="6" spans="2:16" ht="16.5" customHeight="1" x14ac:dyDescent="0.2">
      <c r="B6" s="11" t="s">
        <v>122</v>
      </c>
      <c r="C6" s="24">
        <f>Assumptions!C9</f>
        <v>46128</v>
      </c>
      <c r="D6" s="24">
        <f>Assumptions!C9</f>
        <v>46128</v>
      </c>
      <c r="E6" s="24">
        <f>Assumptions!C9</f>
        <v>46128</v>
      </c>
      <c r="F6" s="24">
        <f>Assumptions!C9</f>
        <v>46128</v>
      </c>
      <c r="G6" s="24">
        <f>Assumptions!C9</f>
        <v>46128</v>
      </c>
      <c r="H6" s="24">
        <f>Assumptions!C9</f>
        <v>46128</v>
      </c>
      <c r="I6" s="24">
        <f>Assumptions!C9</f>
        <v>46128</v>
      </c>
      <c r="J6" s="24">
        <f>Assumptions!C9</f>
        <v>46128</v>
      </c>
      <c r="K6" s="24">
        <f>Assumptions!C9</f>
        <v>46128</v>
      </c>
      <c r="L6" s="24">
        <f>Assumptions!C9</f>
        <v>46128</v>
      </c>
      <c r="M6" s="24">
        <f>Assumptions!C9</f>
        <v>46128</v>
      </c>
      <c r="N6" s="24">
        <f>Assumptions!C9</f>
        <v>46128</v>
      </c>
      <c r="O6" s="24">
        <f>Assumptions!C9</f>
        <v>46128</v>
      </c>
      <c r="P6" s="24">
        <f>Assumptions!C9</f>
        <v>46128</v>
      </c>
    </row>
    <row r="7" spans="2:16" ht="16.5" customHeight="1" x14ac:dyDescent="0.2">
      <c r="B7" s="11" t="s">
        <v>123</v>
      </c>
      <c r="C7" s="25">
        <f>(C5+C6)*Assumptions!C37</f>
        <v>205632.74800000002</v>
      </c>
      <c r="D7" s="25">
        <f>(D5+D6)*Assumptions!C37</f>
        <v>222074.58368500005</v>
      </c>
      <c r="E7" s="25">
        <f>(E5+E6)*Assumptions!C37</f>
        <v>239564.58639491879</v>
      </c>
      <c r="F7" s="25">
        <f>(F5+F6)*Assumptions!C37</f>
        <v>258169.57677759486</v>
      </c>
      <c r="G7" s="25">
        <f>(G5+G6)*Assumptions!C37</f>
        <v>277960.63529716653</v>
      </c>
      <c r="H7" s="25">
        <f>(H5+H6)*Assumptions!C37</f>
        <v>299013.37379736092</v>
      </c>
      <c r="I7" s="25">
        <f>(I5+I6)*Assumptions!C37</f>
        <v>321408.22437694273</v>
      </c>
      <c r="J7" s="25">
        <f>(J5+J6)*Assumptions!C37</f>
        <v>345230.74668097281</v>
      </c>
      <c r="K7" s="25">
        <f>(K5+K6)*Assumptions!C37</f>
        <v>370571.95478188491</v>
      </c>
      <c r="L7" s="25">
        <f>(L5+L6)*Assumptions!C37</f>
        <v>397528.66489923006</v>
      </c>
      <c r="M7" s="25">
        <f>(M5+M6)*Assumptions!C37</f>
        <v>426203.86528655596</v>
      </c>
      <c r="N7" s="25">
        <f>(N5+N6)*Assumptions!C37</f>
        <v>456707.10969857394</v>
      </c>
      <c r="O7" s="25">
        <f>(O5+O6)*Assumptions!C37</f>
        <v>489154.93594185804</v>
      </c>
      <c r="P7" s="25">
        <f>(P5+P6)*Assumptions!C37</f>
        <v>523671.31110815151</v>
      </c>
    </row>
    <row r="8" spans="2:16" ht="16.5" customHeight="1" x14ac:dyDescent="0.2">
      <c r="B8" s="11" t="s">
        <v>124</v>
      </c>
      <c r="C8" s="25">
        <f>-(C5+C6)*Assumptions!C29</f>
        <v>-24192.088000000003</v>
      </c>
      <c r="D8" s="25">
        <f>-(D5+D6)*Assumptions!C29</f>
        <v>-26126.421610000005</v>
      </c>
      <c r="E8" s="25">
        <f>-(E5+E6)*Assumptions!C29</f>
        <v>-28184.068987637504</v>
      </c>
      <c r="F8" s="25">
        <f>-(F5+F6)*Assumptions!C29</f>
        <v>-30372.891385599392</v>
      </c>
      <c r="G8" s="25">
        <f>-(G5+G6)*Assumptions!C29</f>
        <v>-32701.251211431358</v>
      </c>
      <c r="H8" s="25">
        <f>-(H5+H6)*Assumptions!C29</f>
        <v>-35178.043976160108</v>
      </c>
      <c r="I8" s="25">
        <f>-(I5+I6)*Assumptions!C29</f>
        <v>-37812.732279640317</v>
      </c>
      <c r="J8" s="25">
        <f>-(J5+J6)*Assumptions!C29</f>
        <v>-40615.381962467392</v>
      </c>
      <c r="K8" s="25">
        <f>-(K5+K6)*Assumptions!C29</f>
        <v>-43596.70056257469</v>
      </c>
      <c r="L8" s="25">
        <f>-(L5+L6)*Assumptions!C29</f>
        <v>-46768.078223438832</v>
      </c>
      <c r="M8" s="25">
        <f>-(M5+M6)*Assumptions!C29</f>
        <v>-50141.631210183055</v>
      </c>
      <c r="N8" s="25">
        <f>-(N5+N6)*Assumptions!C29</f>
        <v>-53730.248199832226</v>
      </c>
      <c r="O8" s="25">
        <f>-(O5+O6)*Assumptions!C29</f>
        <v>-57547.639522571531</v>
      </c>
      <c r="P8" s="25">
        <f>-(P5+P6)*Assumptions!C29</f>
        <v>-61608.389542135468</v>
      </c>
    </row>
    <row r="9" spans="2:16" ht="16.5" customHeight="1" x14ac:dyDescent="0.2">
      <c r="B9" s="6" t="s">
        <v>125</v>
      </c>
      <c r="C9" s="26">
        <f t="shared" ref="C9:P9" si="1">C5+C6+C7+C8</f>
        <v>3027568.66</v>
      </c>
      <c r="D9" s="26">
        <f t="shared" si="1"/>
        <v>3269644.822075</v>
      </c>
      <c r="E9" s="26">
        <f t="shared" si="1"/>
        <v>3527153.3394822814</v>
      </c>
      <c r="F9" s="26">
        <f t="shared" si="1"/>
        <v>3801078.0248742769</v>
      </c>
      <c r="G9" s="26">
        <f t="shared" si="1"/>
        <v>4092465.4089600123</v>
      </c>
      <c r="H9" s="26">
        <f t="shared" si="1"/>
        <v>4402428.7387812138</v>
      </c>
      <c r="I9" s="26">
        <f t="shared" si="1"/>
        <v>4732152.2308785161</v>
      </c>
      <c r="J9" s="26">
        <f t="shared" si="1"/>
        <v>5082895.5955970222</v>
      </c>
      <c r="K9" s="26">
        <f t="shared" si="1"/>
        <v>5455998.8498163326</v>
      </c>
      <c r="L9" s="26">
        <f t="shared" si="1"/>
        <v>5852887.4364921236</v>
      </c>
      <c r="M9" s="26">
        <f t="shared" si="1"/>
        <v>6275077.6705684969</v>
      </c>
      <c r="N9" s="26">
        <f t="shared" si="1"/>
        <v>6724182.5320672384</v>
      </c>
      <c r="O9" s="26">
        <f t="shared" si="1"/>
        <v>7201917.8284865255</v>
      </c>
      <c r="P9" s="26">
        <f t="shared" si="1"/>
        <v>7710108.7500525415</v>
      </c>
    </row>
    <row r="10" spans="2:16" ht="6" customHeight="1" x14ac:dyDescent="0.2"/>
    <row r="11" spans="2:16" ht="16.5" customHeight="1" x14ac:dyDescent="0.2">
      <c r="B11" s="4" t="s">
        <v>126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2:16" ht="16.5" customHeight="1" x14ac:dyDescent="0.2">
      <c r="B12" s="11" t="s">
        <v>127</v>
      </c>
      <c r="C12" s="25">
        <f>C9*Assumptions!C21</f>
        <v>1362405.8970000001</v>
      </c>
      <c r="D12" s="25">
        <f>D9*Assumptions!C21</f>
        <v>1471340.1699337501</v>
      </c>
      <c r="E12" s="25">
        <f>E9*Assumptions!C21</f>
        <v>1587219.0027670267</v>
      </c>
      <c r="F12" s="25">
        <f>F9*Assumptions!C21</f>
        <v>1710485.1111934246</v>
      </c>
      <c r="G12" s="25">
        <f>G9*Assumptions!C21</f>
        <v>1841609.4340320055</v>
      </c>
      <c r="H12" s="25">
        <f>H9*Assumptions!C21</f>
        <v>1981092.9324515462</v>
      </c>
      <c r="I12" s="25">
        <f>I9*Assumptions!C21</f>
        <v>2129468.5038953321</v>
      </c>
      <c r="J12" s="25">
        <f>J9*Assumptions!C21</f>
        <v>2287303.0180186601</v>
      </c>
      <c r="K12" s="25">
        <f>K9*Assumptions!C21</f>
        <v>2455199.4824173497</v>
      </c>
      <c r="L12" s="25">
        <f>L9*Assumptions!C21</f>
        <v>2633799.3464214555</v>
      </c>
      <c r="M12" s="25">
        <f>M9*Assumptions!C21</f>
        <v>2823784.9517558236</v>
      </c>
      <c r="N12" s="25">
        <f>N9*Assumptions!C21</f>
        <v>3025882.1394302575</v>
      </c>
      <c r="O12" s="25">
        <f>O9*Assumptions!C21</f>
        <v>3240863.0228189365</v>
      </c>
      <c r="P12" s="25">
        <f>P9*Assumptions!C21</f>
        <v>3469548.937523644</v>
      </c>
    </row>
    <row r="13" spans="2:16" ht="16.5" customHeight="1" x14ac:dyDescent="0.2">
      <c r="B13" s="11" t="s">
        <v>128</v>
      </c>
      <c r="C13" s="25">
        <f>C9*Assumptions!C22</f>
        <v>756892.16500000004</v>
      </c>
      <c r="D13" s="25">
        <f>D9*Assumptions!C22</f>
        <v>817411.20551875001</v>
      </c>
      <c r="E13" s="25">
        <f>E9*Assumptions!C22</f>
        <v>881788.33487057034</v>
      </c>
      <c r="F13" s="25">
        <f>F9*Assumptions!C22</f>
        <v>950269.50621856924</v>
      </c>
      <c r="G13" s="25">
        <f>G9*Assumptions!C22</f>
        <v>1023116.3522400031</v>
      </c>
      <c r="H13" s="25">
        <f>H9*Assumptions!C22</f>
        <v>1100607.1846953034</v>
      </c>
      <c r="I13" s="25">
        <f>I9*Assumptions!C22</f>
        <v>1183038.057719629</v>
      </c>
      <c r="J13" s="25">
        <f>J9*Assumptions!C22</f>
        <v>1270723.8988992556</v>
      </c>
      <c r="K13" s="25">
        <f>K9*Assumptions!C22</f>
        <v>1363999.7124540831</v>
      </c>
      <c r="L13" s="25">
        <f>L9*Assumptions!C22</f>
        <v>1463221.8591230309</v>
      </c>
      <c r="M13" s="25">
        <f>M9*Assumptions!C22</f>
        <v>1568769.4176421242</v>
      </c>
      <c r="N13" s="25">
        <f>N9*Assumptions!C22</f>
        <v>1681045.6330168096</v>
      </c>
      <c r="O13" s="25">
        <f>O9*Assumptions!C22</f>
        <v>1800479.4571216314</v>
      </c>
      <c r="P13" s="25">
        <f>P9*Assumptions!C22</f>
        <v>1927527.1875131354</v>
      </c>
    </row>
    <row r="14" spans="2:16" ht="16.5" customHeight="1" x14ac:dyDescent="0.2">
      <c r="B14" s="11" t="s">
        <v>129</v>
      </c>
      <c r="C14" s="25">
        <f>C9*Assumptions!C23</f>
        <v>605513.73200000008</v>
      </c>
      <c r="D14" s="25">
        <f>D9*Assumptions!C23</f>
        <v>653928.96441500005</v>
      </c>
      <c r="E14" s="25">
        <f>E9*Assumptions!C23</f>
        <v>705430.66789645632</v>
      </c>
      <c r="F14" s="25">
        <f>F9*Assumptions!C23</f>
        <v>760215.60497485544</v>
      </c>
      <c r="G14" s="25">
        <f>G9*Assumptions!C23</f>
        <v>818493.08179200254</v>
      </c>
      <c r="H14" s="25">
        <f>H9*Assumptions!C23</f>
        <v>880485.74775624275</v>
      </c>
      <c r="I14" s="25">
        <f>I9*Assumptions!C23</f>
        <v>946430.44617570331</v>
      </c>
      <c r="J14" s="25">
        <f>J9*Assumptions!C23</f>
        <v>1016579.1191194045</v>
      </c>
      <c r="K14" s="25">
        <f>K9*Assumptions!C23</f>
        <v>1091199.7699632666</v>
      </c>
      <c r="L14" s="25">
        <f>L9*Assumptions!C23</f>
        <v>1170577.4872984248</v>
      </c>
      <c r="M14" s="25">
        <f>M9*Assumptions!C23</f>
        <v>1255015.5341136993</v>
      </c>
      <c r="N14" s="25">
        <f>N9*Assumptions!C23</f>
        <v>1344836.5064134477</v>
      </c>
      <c r="O14" s="25">
        <f>O9*Assumptions!C23</f>
        <v>1440383.5656973051</v>
      </c>
      <c r="P14" s="25">
        <f>P9*Assumptions!C23</f>
        <v>1542021.7500105083</v>
      </c>
    </row>
    <row r="15" spans="2:16" ht="16.5" customHeight="1" x14ac:dyDescent="0.2">
      <c r="B15" s="11" t="s">
        <v>130</v>
      </c>
      <c r="C15" s="25">
        <f>C9*Assumptions!C24</f>
        <v>302756.86600000004</v>
      </c>
      <c r="D15" s="25">
        <f>D9*Assumptions!C24</f>
        <v>326964.48220750003</v>
      </c>
      <c r="E15" s="25">
        <f>E9*Assumptions!C24</f>
        <v>352715.33394822816</v>
      </c>
      <c r="F15" s="25">
        <f>F9*Assumptions!C24</f>
        <v>380107.80248742772</v>
      </c>
      <c r="G15" s="25">
        <f>G9*Assumptions!C24</f>
        <v>409246.54089600127</v>
      </c>
      <c r="H15" s="25">
        <f>H9*Assumptions!C24</f>
        <v>440242.87387812138</v>
      </c>
      <c r="I15" s="25">
        <f>I9*Assumptions!C24</f>
        <v>473215.22308785166</v>
      </c>
      <c r="J15" s="25">
        <f>J9*Assumptions!C24</f>
        <v>508289.55955970223</v>
      </c>
      <c r="K15" s="25">
        <f>K9*Assumptions!C24</f>
        <v>545599.88498163328</v>
      </c>
      <c r="L15" s="25">
        <f>L9*Assumptions!C24</f>
        <v>585288.74364921241</v>
      </c>
      <c r="M15" s="25">
        <f>M9*Assumptions!C24</f>
        <v>627507.76705684967</v>
      </c>
      <c r="N15" s="25">
        <f>N9*Assumptions!C24</f>
        <v>672418.25320672384</v>
      </c>
      <c r="O15" s="25">
        <f>O9*Assumptions!C24</f>
        <v>720191.78284865257</v>
      </c>
      <c r="P15" s="25">
        <f>P9*Assumptions!C24</f>
        <v>771010.87500525417</v>
      </c>
    </row>
    <row r="16" spans="2:16" ht="6" customHeight="1" x14ac:dyDescent="0.2"/>
    <row r="17" spans="2:16" ht="16.5" customHeight="1" x14ac:dyDescent="0.2">
      <c r="B17" s="4" t="s">
        <v>131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2:16" ht="16.5" customHeight="1" x14ac:dyDescent="0.2">
      <c r="B18" s="11" t="s">
        <v>132</v>
      </c>
      <c r="C18" s="25">
        <f>C9/(1+Assumptions!C30)^1</f>
        <v>2953725.52195122</v>
      </c>
      <c r="D18" s="25">
        <f>D9/(1+Assumptions!C30)^2</f>
        <v>3112095.0120880431</v>
      </c>
      <c r="E18" s="25">
        <f>E9/(1+Assumptions!C30)^3</f>
        <v>3275312.5132668712</v>
      </c>
      <c r="F18" s="25">
        <f>F9/(1+Assumptions!C30)^4</f>
        <v>3443589.0875690305</v>
      </c>
      <c r="G18" s="25">
        <f>G9/(1+Assumptions!C30)^5</f>
        <v>3617143.0986029431</v>
      </c>
      <c r="H18" s="25">
        <f>H9/(1+Assumptions!C30)^6</f>
        <v>3796200.5040654978</v>
      </c>
      <c r="I18" s="25">
        <f>I9/(1+Assumptions!C30)^7</f>
        <v>3980995.1589605408</v>
      </c>
      <c r="J18" s="25">
        <f>J9/(1+Assumptions!C30)^8</f>
        <v>4171769.1298872242</v>
      </c>
      <c r="K18" s="25">
        <f>K9/(1+Assumptions!C30)^9</f>
        <v>4368773.0208262727</v>
      </c>
      <c r="L18" s="25">
        <f>L9/(1+Assumptions!C30)^10</f>
        <v>4572266.3108682353</v>
      </c>
      <c r="M18" s="25">
        <f>M9/(1+Assumptions!C30)^11</f>
        <v>4782517.7043443006</v>
      </c>
      <c r="N18" s="25">
        <f>N9/(1+Assumptions!C30)^12</f>
        <v>4999805.4938374581</v>
      </c>
      <c r="O18" s="25">
        <f>O9/(1+Assumptions!C30)^13</f>
        <v>5224417.9365696432</v>
      </c>
      <c r="P18" s="25">
        <f>P9/(1+Assumptions!C30)^14</f>
        <v>5456653.6446790192</v>
      </c>
    </row>
    <row r="19" spans="2:16" ht="6" customHeight="1" x14ac:dyDescent="0.2"/>
    <row r="20" spans="2:16" ht="16.5" customHeight="1" x14ac:dyDescent="0.2">
      <c r="B20" s="4" t="s">
        <v>133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2:16" ht="16.5" customHeight="1" x14ac:dyDescent="0.2">
      <c r="B21" s="11" t="s">
        <v>134</v>
      </c>
      <c r="C21" s="25">
        <f t="shared" ref="C21:P21" si="2">C7+C8</f>
        <v>181440.66000000003</v>
      </c>
      <c r="D21" s="25">
        <f t="shared" si="2"/>
        <v>195948.16207500006</v>
      </c>
      <c r="E21" s="25">
        <f t="shared" si="2"/>
        <v>211380.5174072813</v>
      </c>
      <c r="F21" s="25">
        <f t="shared" si="2"/>
        <v>227796.68539199547</v>
      </c>
      <c r="G21" s="25">
        <f t="shared" si="2"/>
        <v>245259.38408573519</v>
      </c>
      <c r="H21" s="25">
        <f t="shared" si="2"/>
        <v>263835.32982120081</v>
      </c>
      <c r="I21" s="25">
        <f t="shared" si="2"/>
        <v>283595.4920973024</v>
      </c>
      <c r="J21" s="25">
        <f t="shared" si="2"/>
        <v>304615.36471850541</v>
      </c>
      <c r="K21" s="25">
        <f t="shared" si="2"/>
        <v>326975.25421931024</v>
      </c>
      <c r="L21" s="25">
        <f t="shared" si="2"/>
        <v>350760.58667579124</v>
      </c>
      <c r="M21" s="25">
        <f t="shared" si="2"/>
        <v>376062.23407637293</v>
      </c>
      <c r="N21" s="25">
        <f t="shared" si="2"/>
        <v>402976.86149874172</v>
      </c>
      <c r="O21" s="25">
        <f t="shared" si="2"/>
        <v>431607.29641928652</v>
      </c>
      <c r="P21" s="25">
        <f t="shared" si="2"/>
        <v>462062.92156601604</v>
      </c>
    </row>
    <row r="22" spans="2:16" ht="16.5" customHeight="1" x14ac:dyDescent="0.2">
      <c r="B22" s="11" t="s">
        <v>135</v>
      </c>
      <c r="C22" s="27">
        <f t="shared" ref="C22:P22" si="3">C21/C5</f>
        <v>6.4800235714285725E-2</v>
      </c>
      <c r="D22" s="27">
        <f t="shared" si="3"/>
        <v>6.4721294239781194E-2</v>
      </c>
      <c r="E22" s="27">
        <f t="shared" si="3"/>
        <v>6.4649382091946553E-2</v>
      </c>
      <c r="F22" s="27">
        <f t="shared" si="3"/>
        <v>6.4583720487023585E-2</v>
      </c>
      <c r="G22" s="27">
        <f t="shared" si="3"/>
        <v>6.452363842066812E-2</v>
      </c>
      <c r="H22" s="27">
        <f t="shared" si="3"/>
        <v>6.4468554637886921E-2</v>
      </c>
      <c r="I22" s="27">
        <f t="shared" si="3"/>
        <v>6.4417963111837701E-2</v>
      </c>
      <c r="J22" s="27">
        <f t="shared" si="3"/>
        <v>6.4371421259614481E-2</v>
      </c>
      <c r="K22" s="27">
        <f t="shared" si="3"/>
        <v>6.4328540311264185E-2</v>
      </c>
      <c r="L22" s="27">
        <f t="shared" si="3"/>
        <v>6.4288977386349533E-2</v>
      </c>
      <c r="M22" s="27">
        <f t="shared" si="3"/>
        <v>6.425242893476224E-2</v>
      </c>
      <c r="N22" s="27">
        <f t="shared" si="3"/>
        <v>6.4218625275156732E-2</v>
      </c>
      <c r="O22" s="27">
        <f t="shared" si="3"/>
        <v>6.4187326022304758E-2</v>
      </c>
      <c r="P22" s="27">
        <f t="shared" si="3"/>
        <v>6.4158316238817459E-2</v>
      </c>
    </row>
    <row r="23" spans="2:16" ht="16.5" customHeight="1" x14ac:dyDescent="0.2">
      <c r="B23" s="11" t="s">
        <v>136</v>
      </c>
      <c r="C23" s="25">
        <f>C21</f>
        <v>181440.66000000003</v>
      </c>
      <c r="D23" s="25">
        <f t="shared" ref="D23:P23" si="4">C23+D21</f>
        <v>377388.82207500009</v>
      </c>
      <c r="E23" s="25">
        <f t="shared" si="4"/>
        <v>588769.33948228136</v>
      </c>
      <c r="F23" s="25">
        <f t="shared" si="4"/>
        <v>816566.02487427683</v>
      </c>
      <c r="G23" s="25">
        <f t="shared" si="4"/>
        <v>1061825.408960012</v>
      </c>
      <c r="H23" s="25">
        <f t="shared" si="4"/>
        <v>1325660.7387812128</v>
      </c>
      <c r="I23" s="25">
        <f t="shared" si="4"/>
        <v>1609256.2308785152</v>
      </c>
      <c r="J23" s="25">
        <f t="shared" si="4"/>
        <v>1913871.5955970206</v>
      </c>
      <c r="K23" s="25">
        <f t="shared" si="4"/>
        <v>2240846.8498163307</v>
      </c>
      <c r="L23" s="25">
        <f t="shared" si="4"/>
        <v>2591607.4364921218</v>
      </c>
      <c r="M23" s="25">
        <f t="shared" si="4"/>
        <v>2967669.6705684946</v>
      </c>
      <c r="N23" s="25">
        <f t="shared" si="4"/>
        <v>3370646.5320672365</v>
      </c>
      <c r="O23" s="25">
        <f t="shared" si="4"/>
        <v>3802253.8284865231</v>
      </c>
      <c r="P23" s="25">
        <f t="shared" si="4"/>
        <v>4264316.7500525396</v>
      </c>
    </row>
    <row r="24" spans="2:16" ht="6" customHeight="1" x14ac:dyDescent="0.2"/>
    <row r="25" spans="2:16" ht="16.5" customHeight="1" x14ac:dyDescent="0.2">
      <c r="B25" s="4" t="s">
        <v>137</v>
      </c>
      <c r="C25" s="4"/>
      <c r="D25" s="4"/>
    </row>
    <row r="26" spans="2:16" ht="16.5" customHeight="1" x14ac:dyDescent="0.2">
      <c r="B26" s="11" t="s">
        <v>138</v>
      </c>
      <c r="C26" s="16">
        <f>C5</f>
        <v>2800000</v>
      </c>
    </row>
    <row r="27" spans="2:16" ht="16.5" customHeight="1" x14ac:dyDescent="0.2">
      <c r="B27" s="6" t="s">
        <v>139</v>
      </c>
      <c r="C27" s="28">
        <f>P9</f>
        <v>7710108.7500525415</v>
      </c>
    </row>
    <row r="28" spans="2:16" ht="16.5" customHeight="1" x14ac:dyDescent="0.2">
      <c r="B28" s="11" t="s">
        <v>140</v>
      </c>
      <c r="C28" s="16">
        <f>SUM(C6:P6)</f>
        <v>645792</v>
      </c>
    </row>
    <row r="29" spans="2:16" ht="16.5" customHeight="1" x14ac:dyDescent="0.2">
      <c r="B29" s="11" t="s">
        <v>141</v>
      </c>
      <c r="C29" s="16">
        <f>SUM(C7:P7)</f>
        <v>4832892.3167262115</v>
      </c>
    </row>
    <row r="30" spans="2:16" ht="16.5" customHeight="1" x14ac:dyDescent="0.2">
      <c r="B30" s="11" t="s">
        <v>142</v>
      </c>
      <c r="C30" s="16">
        <f>SUM(C8:P8)</f>
        <v>-568575.56667367183</v>
      </c>
    </row>
    <row r="31" spans="2:16" ht="16.5" customHeight="1" x14ac:dyDescent="0.2">
      <c r="B31" s="11" t="s">
        <v>143</v>
      </c>
      <c r="C31" s="16">
        <f>P9-C5</f>
        <v>4910108.7500525415</v>
      </c>
    </row>
    <row r="32" spans="2:16" ht="16.5" customHeight="1" x14ac:dyDescent="0.2">
      <c r="B32" s="6" t="s">
        <v>144</v>
      </c>
      <c r="C32" s="29">
        <f>(P9/C5)^(1/14)-1</f>
        <v>7.5032527937713756E-2</v>
      </c>
    </row>
    <row r="33" spans="2:3" ht="16.5" customHeight="1" x14ac:dyDescent="0.2">
      <c r="B33" s="11" t="s">
        <v>145</v>
      </c>
      <c r="C33" s="16">
        <f>P18</f>
        <v>5456653.6446790192</v>
      </c>
    </row>
    <row r="35" spans="2:3" ht="16.5" customHeight="1" x14ac:dyDescent="0.2">
      <c r="B35" s="6" t="s">
        <v>146</v>
      </c>
      <c r="C35" s="28">
        <f>P9</f>
        <v>7710108.7500525415</v>
      </c>
    </row>
  </sheetData>
  <mergeCells count="6">
    <mergeCell ref="B25:D25"/>
    <mergeCell ref="B1:P1"/>
    <mergeCell ref="B4:P4"/>
    <mergeCell ref="B11:P11"/>
    <mergeCell ref="B17:P17"/>
    <mergeCell ref="B20:P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26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3" width="18" customWidth="1"/>
    <col min="4" max="4" width="47" customWidth="1"/>
    <col min="5" max="5" width="40" customWidth="1"/>
    <col min="6" max="6" width="3" customWidth="1"/>
  </cols>
  <sheetData>
    <row r="1" spans="2:5" ht="18" customHeight="1" x14ac:dyDescent="0.2">
      <c r="B1" s="5" t="s">
        <v>147</v>
      </c>
      <c r="C1" s="5"/>
      <c r="D1" s="5"/>
      <c r="E1" s="5"/>
    </row>
    <row r="2" spans="2:5" ht="6" customHeight="1" x14ac:dyDescent="0.2"/>
    <row r="3" spans="2:5" ht="16.5" customHeight="1" x14ac:dyDescent="0.2">
      <c r="B3" s="4" t="s">
        <v>148</v>
      </c>
      <c r="C3" s="4"/>
      <c r="D3" s="4"/>
    </row>
    <row r="4" spans="2:5" ht="18" customHeight="1" x14ac:dyDescent="0.2">
      <c r="C4" s="23" t="s">
        <v>149</v>
      </c>
      <c r="D4" s="23" t="s">
        <v>150</v>
      </c>
    </row>
    <row r="5" spans="2:5" ht="16.5" customHeight="1" x14ac:dyDescent="0.2">
      <c r="B5" s="11" t="s">
        <v>151</v>
      </c>
      <c r="C5" s="24">
        <f>Portfolio!P9*0.04</f>
        <v>308404.35000210168</v>
      </c>
      <c r="D5" s="30" t="s">
        <v>152</v>
      </c>
    </row>
    <row r="6" spans="2:5" ht="16.5" customHeight="1" x14ac:dyDescent="0.2">
      <c r="B6" s="11" t="s">
        <v>153</v>
      </c>
      <c r="C6" s="31">
        <v>24900</v>
      </c>
      <c r="D6" s="30" t="s">
        <v>154</v>
      </c>
    </row>
    <row r="7" spans="2:5" ht="16.5" customHeight="1" x14ac:dyDescent="0.2">
      <c r="B7" s="11" t="s">
        <v>155</v>
      </c>
      <c r="C7" s="31">
        <v>8618</v>
      </c>
      <c r="D7" s="30" t="s">
        <v>156</v>
      </c>
    </row>
    <row r="8" spans="2:5" ht="16.5" customHeight="1" x14ac:dyDescent="0.2">
      <c r="B8" s="11" t="s">
        <v>157</v>
      </c>
      <c r="C8" s="24">
        <f>Assumptions!C44*0.05</f>
        <v>19250</v>
      </c>
      <c r="D8" s="30" t="s">
        <v>158</v>
      </c>
    </row>
    <row r="9" spans="2:5" ht="16.5" customHeight="1" x14ac:dyDescent="0.2">
      <c r="B9" s="11" t="s">
        <v>159</v>
      </c>
      <c r="C9" s="24">
        <f>Assumptions!C45*0.04</f>
        <v>3800</v>
      </c>
      <c r="D9" s="30" t="s">
        <v>160</v>
      </c>
    </row>
    <row r="10" spans="2:5" ht="16.5" customHeight="1" x14ac:dyDescent="0.2">
      <c r="B10" s="11" t="s">
        <v>161</v>
      </c>
      <c r="C10" s="24">
        <f>Assumptions!C48*0.06</f>
        <v>37200</v>
      </c>
      <c r="D10" s="30" t="s">
        <v>162</v>
      </c>
    </row>
    <row r="11" spans="2:5" ht="16.5" customHeight="1" x14ac:dyDescent="0.2">
      <c r="B11" s="11" t="s">
        <v>163</v>
      </c>
      <c r="C11" s="31">
        <v>0</v>
      </c>
      <c r="D11" s="30" t="s">
        <v>164</v>
      </c>
    </row>
    <row r="12" spans="2:5" ht="16.5" customHeight="1" x14ac:dyDescent="0.2">
      <c r="B12" s="6" t="s">
        <v>165</v>
      </c>
      <c r="C12" s="26">
        <f>SUM(C5:C11)</f>
        <v>402172.35000210168</v>
      </c>
      <c r="D12" s="32" t="s">
        <v>166</v>
      </c>
    </row>
    <row r="13" spans="2:5" ht="6" customHeight="1" x14ac:dyDescent="0.2"/>
    <row r="14" spans="2:5" ht="16.5" customHeight="1" x14ac:dyDescent="0.2">
      <c r="B14" s="4" t="s">
        <v>167</v>
      </c>
      <c r="C14" s="4"/>
      <c r="D14" s="4"/>
    </row>
    <row r="15" spans="2:5" ht="18" customHeight="1" x14ac:dyDescent="0.2">
      <c r="C15" s="23" t="s">
        <v>149</v>
      </c>
      <c r="D15" s="23" t="s">
        <v>150</v>
      </c>
    </row>
    <row r="16" spans="2:5" ht="16.5" customHeight="1" x14ac:dyDescent="0.2">
      <c r="B16" s="11" t="s">
        <v>168</v>
      </c>
      <c r="C16" s="25">
        <f>Assumptions!C8*0.75</f>
        <v>135000</v>
      </c>
      <c r="D16" s="30" t="s">
        <v>169</v>
      </c>
    </row>
    <row r="17" spans="2:4" ht="16.5" customHeight="1" x14ac:dyDescent="0.2">
      <c r="B17" s="11" t="s">
        <v>170</v>
      </c>
      <c r="C17" s="25">
        <f>C16*(1+Assumptions!C30)^Assumptions!C5</f>
        <v>186098.99105508142</v>
      </c>
      <c r="D17" s="30" t="s">
        <v>171</v>
      </c>
    </row>
    <row r="18" spans="2:4" ht="16.5" customHeight="1" x14ac:dyDescent="0.2">
      <c r="B18" s="11" t="s">
        <v>172</v>
      </c>
      <c r="C18" s="31">
        <v>35000</v>
      </c>
      <c r="D18" s="30" t="s">
        <v>173</v>
      </c>
    </row>
    <row r="19" spans="2:4" ht="16.5" customHeight="1" x14ac:dyDescent="0.2">
      <c r="B19" s="11" t="s">
        <v>174</v>
      </c>
      <c r="C19" s="31">
        <v>25000</v>
      </c>
      <c r="D19" s="30" t="s">
        <v>175</v>
      </c>
    </row>
    <row r="20" spans="2:4" ht="16.5" customHeight="1" x14ac:dyDescent="0.2">
      <c r="B20" s="6" t="s">
        <v>176</v>
      </c>
      <c r="C20" s="26">
        <f>SUM(C16:C19)</f>
        <v>381098.99105508142</v>
      </c>
    </row>
    <row r="21" spans="2:4" ht="6" customHeight="1" x14ac:dyDescent="0.2"/>
    <row r="22" spans="2:4" ht="16.5" customHeight="1" x14ac:dyDescent="0.2">
      <c r="B22" s="4" t="s">
        <v>177</v>
      </c>
      <c r="C22" s="4"/>
      <c r="D22" s="4"/>
    </row>
    <row r="23" spans="2:4" ht="16.5" customHeight="1" x14ac:dyDescent="0.2">
      <c r="B23" s="6" t="s">
        <v>178</v>
      </c>
      <c r="C23" s="26">
        <f>C12-C20</f>
        <v>21073.358947020257</v>
      </c>
    </row>
    <row r="24" spans="2:4" ht="16.5" customHeight="1" x14ac:dyDescent="0.2">
      <c r="B24" s="6" t="s">
        <v>179</v>
      </c>
      <c r="C24" s="33">
        <f>C12/C20</f>
        <v>1.0552962863760886</v>
      </c>
    </row>
    <row r="25" spans="2:4" ht="16.5" customHeight="1" x14ac:dyDescent="0.2">
      <c r="B25" s="11" t="s">
        <v>180</v>
      </c>
      <c r="C25" s="34">
        <f>Portfolio!P9/C20</f>
        <v>20.231249441797068</v>
      </c>
    </row>
    <row r="26" spans="2:4" ht="16.5" customHeight="1" x14ac:dyDescent="0.2">
      <c r="B26" s="11" t="s">
        <v>181</v>
      </c>
      <c r="C26" s="18">
        <f>C12/Assumptions!C7</f>
        <v>0.95755321429071827</v>
      </c>
    </row>
  </sheetData>
  <mergeCells count="4">
    <mergeCell ref="B1:E1"/>
    <mergeCell ref="B3:D3"/>
    <mergeCell ref="B14:D14"/>
    <mergeCell ref="B22:D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22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38" customWidth="1"/>
    <col min="3" max="3" width="18" customWidth="1"/>
    <col min="4" max="5" width="40" customWidth="1"/>
    <col min="6" max="6" width="3" customWidth="1"/>
  </cols>
  <sheetData>
    <row r="1" spans="2:5" ht="18" customHeight="1" x14ac:dyDescent="0.2">
      <c r="B1" s="5" t="s">
        <v>182</v>
      </c>
      <c r="C1" s="5"/>
      <c r="D1" s="5"/>
      <c r="E1" s="5"/>
    </row>
    <row r="2" spans="2:5" ht="6" customHeight="1" x14ac:dyDescent="0.2"/>
    <row r="3" spans="2:5" ht="16.5" customHeight="1" x14ac:dyDescent="0.2">
      <c r="B3" s="4" t="s">
        <v>183</v>
      </c>
      <c r="C3" s="4"/>
      <c r="D3" s="4"/>
    </row>
    <row r="4" spans="2:5" ht="18" customHeight="1" x14ac:dyDescent="0.2">
      <c r="C4" s="23" t="s">
        <v>184</v>
      </c>
      <c r="D4" s="23" t="s">
        <v>185</v>
      </c>
    </row>
    <row r="5" spans="2:5" ht="30" customHeight="1" x14ac:dyDescent="0.2">
      <c r="B5" s="11" t="s">
        <v>186</v>
      </c>
      <c r="C5" s="25">
        <f>Assumptions!C16*Assumptions!C14</f>
        <v>14568.096</v>
      </c>
      <c r="D5" s="35" t="s">
        <v>187</v>
      </c>
    </row>
    <row r="6" spans="2:5" ht="30" customHeight="1" x14ac:dyDescent="0.2">
      <c r="B6" s="11" t="s">
        <v>188</v>
      </c>
      <c r="C6" s="25">
        <f>Assumptions!C17*Assumptions!C37*Assumptions!C14</f>
        <v>233.45420000000004</v>
      </c>
      <c r="D6" s="35" t="s">
        <v>189</v>
      </c>
    </row>
    <row r="7" spans="2:5" ht="30" customHeight="1" x14ac:dyDescent="0.2">
      <c r="B7" s="11" t="s">
        <v>190</v>
      </c>
      <c r="C7" s="25">
        <f>Assumptions!C48*0.06*(Assumptions!C14-Assumptions!C18)</f>
        <v>12521.52</v>
      </c>
      <c r="D7" s="35" t="s">
        <v>191</v>
      </c>
    </row>
    <row r="8" spans="2:5" ht="30" customHeight="1" x14ac:dyDescent="0.2">
      <c r="B8" s="11" t="s">
        <v>192</v>
      </c>
      <c r="C8" s="25">
        <f>Assumptions!C47*0.29</f>
        <v>4350</v>
      </c>
      <c r="D8" s="35" t="s">
        <v>193</v>
      </c>
    </row>
    <row r="9" spans="2:5" ht="30" customHeight="1" x14ac:dyDescent="0.2">
      <c r="B9" s="11" t="s">
        <v>194</v>
      </c>
      <c r="C9" s="25">
        <f>Assumptions!C6*Assumptions!C37*Assumptions!C14*(1-Assumptions!C15)</f>
        <v>46690.840000000011</v>
      </c>
      <c r="D9" s="35" t="s">
        <v>195</v>
      </c>
    </row>
    <row r="10" spans="2:5" ht="16.5" customHeight="1" x14ac:dyDescent="0.2">
      <c r="B10" s="6" t="s">
        <v>196</v>
      </c>
      <c r="C10" s="26">
        <f>SUM(C5:C9)</f>
        <v>78363.910200000013</v>
      </c>
    </row>
    <row r="11" spans="2:5" ht="6" customHeight="1" x14ac:dyDescent="0.2"/>
    <row r="12" spans="2:5" ht="16.5" customHeight="1" x14ac:dyDescent="0.2">
      <c r="B12" s="4" t="s">
        <v>197</v>
      </c>
      <c r="C12" s="4"/>
      <c r="D12" s="4"/>
    </row>
    <row r="13" spans="2:5" ht="18" customHeight="1" x14ac:dyDescent="0.2">
      <c r="C13" s="23" t="s">
        <v>198</v>
      </c>
      <c r="D13" s="23" t="s">
        <v>150</v>
      </c>
    </row>
    <row r="14" spans="2:5" ht="16.5" customHeight="1" x14ac:dyDescent="0.2">
      <c r="B14" s="11" t="s">
        <v>199</v>
      </c>
      <c r="C14" s="24">
        <f>Assumptions!C44</f>
        <v>385000</v>
      </c>
      <c r="D14" s="35" t="s">
        <v>200</v>
      </c>
    </row>
    <row r="15" spans="2:5" ht="16.5" customHeight="1" x14ac:dyDescent="0.2">
      <c r="B15" s="11" t="s">
        <v>201</v>
      </c>
      <c r="C15" s="24">
        <f>Assumptions!C16</f>
        <v>31560</v>
      </c>
      <c r="D15" s="35" t="s">
        <v>202</v>
      </c>
    </row>
    <row r="16" spans="2:5" ht="16.5" customHeight="1" x14ac:dyDescent="0.2">
      <c r="B16" s="11" t="s">
        <v>203</v>
      </c>
      <c r="C16" s="24">
        <f>Assumptions!C5</f>
        <v>13</v>
      </c>
      <c r="D16" s="35" t="s">
        <v>204</v>
      </c>
    </row>
    <row r="17" spans="2:4" ht="16.5" customHeight="1" x14ac:dyDescent="0.2">
      <c r="B17" s="11" t="s">
        <v>205</v>
      </c>
      <c r="C17" s="25">
        <f>C14*(1+Assumptions!C37)^C16+C15*((1+Assumptions!C37)^C16-1)/Assumptions!C37</f>
        <v>1598460.8745809651</v>
      </c>
      <c r="D17" s="35" t="s">
        <v>206</v>
      </c>
    </row>
    <row r="18" spans="2:4" ht="16.5" customHeight="1" x14ac:dyDescent="0.2">
      <c r="B18" s="11" t="s">
        <v>207</v>
      </c>
      <c r="C18" s="25">
        <f>C17*0.05</f>
        <v>79923.043729048266</v>
      </c>
      <c r="D18" s="35" t="s">
        <v>208</v>
      </c>
    </row>
    <row r="19" spans="2:4" ht="16.5" customHeight="1" x14ac:dyDescent="0.2">
      <c r="B19" s="11" t="s">
        <v>209</v>
      </c>
      <c r="C19" s="25">
        <f>C18*Assumptions!C14</f>
        <v>36892.476985328678</v>
      </c>
      <c r="D19" s="35" t="s">
        <v>210</v>
      </c>
    </row>
    <row r="20" spans="2:4" ht="6" customHeight="1" x14ac:dyDescent="0.2"/>
    <row r="21" spans="2:4" ht="16.5" customHeight="1" x14ac:dyDescent="0.2">
      <c r="B21" s="4" t="s">
        <v>211</v>
      </c>
      <c r="C21" s="4"/>
      <c r="D21" s="4"/>
    </row>
    <row r="22" spans="2:4" ht="16.5" customHeight="1" x14ac:dyDescent="0.2">
      <c r="B22" s="6" t="s">
        <v>212</v>
      </c>
      <c r="C22" s="26">
        <f>C10*Assumptions!C5</f>
        <v>1018730.8326000002</v>
      </c>
      <c r="D22" s="32" t="s">
        <v>213</v>
      </c>
    </row>
  </sheetData>
  <mergeCells count="4">
    <mergeCell ref="B1:E1"/>
    <mergeCell ref="B3:D3"/>
    <mergeCell ref="B12:D12"/>
    <mergeCell ref="B21:D2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E27"/>
  <sheetViews>
    <sheetView showGridLines="0" zoomScaleNormal="100" workbookViewId="0">
      <selection activeCell="C28" sqref="C28"/>
    </sheetView>
  </sheetViews>
  <sheetFormatPr baseColWidth="10" defaultColWidth="8.6640625" defaultRowHeight="15" x14ac:dyDescent="0.2"/>
  <cols>
    <col min="1" max="1" width="3" customWidth="1"/>
    <col min="2" max="2" width="38" customWidth="1"/>
    <col min="3" max="3" width="18" customWidth="1"/>
    <col min="4" max="4" width="48.5" customWidth="1"/>
    <col min="5" max="5" width="40" customWidth="1"/>
    <col min="6" max="6" width="3" customWidth="1"/>
  </cols>
  <sheetData>
    <row r="1" spans="2:5" ht="18" customHeight="1" x14ac:dyDescent="0.2">
      <c r="B1" s="5" t="s">
        <v>214</v>
      </c>
      <c r="C1" s="5"/>
      <c r="D1" s="5"/>
      <c r="E1" s="5"/>
    </row>
    <row r="2" spans="2:5" ht="6" customHeight="1" x14ac:dyDescent="0.2"/>
    <row r="3" spans="2:5" ht="16.5" customHeight="1" x14ac:dyDescent="0.2">
      <c r="B3" s="4" t="s">
        <v>215</v>
      </c>
      <c r="C3" s="4"/>
      <c r="D3" s="4"/>
    </row>
    <row r="4" spans="2:5" ht="18" customHeight="1" x14ac:dyDescent="0.2">
      <c r="C4" s="23" t="s">
        <v>198</v>
      </c>
      <c r="D4" s="23" t="s">
        <v>216</v>
      </c>
    </row>
    <row r="5" spans="2:5" ht="24.75" customHeight="1" x14ac:dyDescent="0.2">
      <c r="B5" s="11" t="s">
        <v>217</v>
      </c>
      <c r="C5" s="24">
        <f>Portfolio!P9</f>
        <v>7710108.7500525415</v>
      </c>
      <c r="D5" s="35" t="s">
        <v>218</v>
      </c>
    </row>
    <row r="6" spans="2:5" ht="24.75" customHeight="1" x14ac:dyDescent="0.2">
      <c r="B6" s="11" t="s">
        <v>219</v>
      </c>
      <c r="C6" s="24">
        <f>TaxPlan!C17</f>
        <v>1598460.8745809651</v>
      </c>
      <c r="D6" s="35" t="s">
        <v>220</v>
      </c>
    </row>
    <row r="7" spans="2:5" ht="24.75" customHeight="1" x14ac:dyDescent="0.2">
      <c r="B7" s="11" t="s">
        <v>221</v>
      </c>
      <c r="C7" s="24">
        <f>Assumptions!C45*(1+Assumptions!C37)^Assumptions!C5+Assumptions!C17*((1+Assumptions!C37)^Assumptions!C5-1)/Assumptions!C37</f>
        <v>378330.76272031083</v>
      </c>
      <c r="D7" s="35" t="s">
        <v>222</v>
      </c>
    </row>
    <row r="8" spans="2:5" ht="24.75" customHeight="1" x14ac:dyDescent="0.2">
      <c r="B8" s="11" t="s">
        <v>223</v>
      </c>
      <c r="C8" s="24">
        <f>Assumptions!C46*(1+Assumptions!C30)^Assumptions!C5</f>
        <v>2550245.4329770417</v>
      </c>
      <c r="D8" s="35" t="s">
        <v>224</v>
      </c>
    </row>
    <row r="9" spans="2:5" ht="24.75" customHeight="1" x14ac:dyDescent="0.2">
      <c r="B9" s="11" t="s">
        <v>225</v>
      </c>
      <c r="C9" s="24">
        <f>Assumptions!C48*(1+Assumptions!C18)^Assumptions!C5</f>
        <v>2866648.7443187726</v>
      </c>
      <c r="D9" s="35" t="s">
        <v>226</v>
      </c>
    </row>
    <row r="10" spans="2:5" ht="24.75" customHeight="1" x14ac:dyDescent="0.2">
      <c r="B10" s="11" t="s">
        <v>227</v>
      </c>
      <c r="C10" s="24">
        <f>Assumptions!C42</f>
        <v>1200000</v>
      </c>
      <c r="D10" s="35" t="s">
        <v>228</v>
      </c>
    </row>
    <row r="11" spans="2:5" ht="16.5" customHeight="1" x14ac:dyDescent="0.2">
      <c r="B11" s="6" t="s">
        <v>229</v>
      </c>
      <c r="C11" s="26">
        <f>SUM(C5:C10)</f>
        <v>16303794.56464963</v>
      </c>
    </row>
    <row r="12" spans="2:5" ht="6" customHeight="1" x14ac:dyDescent="0.2"/>
    <row r="13" spans="2:5" ht="16.5" customHeight="1" x14ac:dyDescent="0.2">
      <c r="B13" s="4" t="s">
        <v>230</v>
      </c>
      <c r="C13" s="4"/>
      <c r="D13" s="4"/>
    </row>
    <row r="14" spans="2:5" ht="24.75" customHeight="1" x14ac:dyDescent="0.2">
      <c r="B14" s="11" t="s">
        <v>231</v>
      </c>
      <c r="C14" s="25">
        <f>TaxPlan!C17*Assumptions!C14</f>
        <v>737849.53970657347</v>
      </c>
      <c r="D14" s="35" t="s">
        <v>232</v>
      </c>
    </row>
    <row r="15" spans="2:5" ht="24.75" customHeight="1" x14ac:dyDescent="0.2">
      <c r="B15" s="11" t="s">
        <v>233</v>
      </c>
      <c r="C15" s="25">
        <f>Portfolio!P9*Assumptions!C15*Assumptions!C12</f>
        <v>1272167.9437586693</v>
      </c>
      <c r="D15" s="35" t="s">
        <v>234</v>
      </c>
    </row>
    <row r="16" spans="2:5" ht="24.75" customHeight="1" x14ac:dyDescent="0.2">
      <c r="B16" s="11" t="s">
        <v>235</v>
      </c>
      <c r="C16" s="25">
        <f>C11*0.015</f>
        <v>244556.91846974444</v>
      </c>
      <c r="D16" s="35" t="s">
        <v>236</v>
      </c>
    </row>
    <row r="17" spans="2:4" ht="24.75" customHeight="1" x14ac:dyDescent="0.2">
      <c r="B17" s="11" t="s">
        <v>237</v>
      </c>
      <c r="C17" s="31">
        <v>0</v>
      </c>
      <c r="D17" s="35" t="s">
        <v>238</v>
      </c>
    </row>
    <row r="18" spans="2:4" ht="16.5" customHeight="1" x14ac:dyDescent="0.2">
      <c r="B18" s="6" t="s">
        <v>239</v>
      </c>
      <c r="C18" s="26">
        <f>C11-SUM(C14:C17)</f>
        <v>14049220.162714643</v>
      </c>
    </row>
    <row r="19" spans="2:4" ht="6" customHeight="1" x14ac:dyDescent="0.2"/>
    <row r="20" spans="2:4" ht="16.5" customHeight="1" x14ac:dyDescent="0.2">
      <c r="B20" s="4" t="s">
        <v>240</v>
      </c>
      <c r="C20" s="4"/>
      <c r="D20" s="4"/>
    </row>
    <row r="21" spans="2:4" ht="18" customHeight="1" x14ac:dyDescent="0.2">
      <c r="B21" s="22" t="s">
        <v>241</v>
      </c>
      <c r="C21" s="23" t="s">
        <v>242</v>
      </c>
      <c r="D21" s="23" t="s">
        <v>243</v>
      </c>
    </row>
    <row r="22" spans="2:4" ht="27.75" customHeight="1" x14ac:dyDescent="0.2">
      <c r="B22" s="11" t="s">
        <v>244</v>
      </c>
      <c r="C22" s="47" t="s">
        <v>287</v>
      </c>
      <c r="D22" s="36" t="s">
        <v>245</v>
      </c>
    </row>
    <row r="23" spans="2:4" ht="27.75" customHeight="1" x14ac:dyDescent="0.2">
      <c r="B23" s="11" t="s">
        <v>246</v>
      </c>
      <c r="C23" s="47" t="s">
        <v>287</v>
      </c>
      <c r="D23" s="36" t="s">
        <v>247</v>
      </c>
    </row>
    <row r="24" spans="2:4" ht="27.75" customHeight="1" x14ac:dyDescent="0.2">
      <c r="B24" s="11" t="s">
        <v>248</v>
      </c>
      <c r="C24" s="47" t="s">
        <v>288</v>
      </c>
      <c r="D24" s="36" t="s">
        <v>249</v>
      </c>
    </row>
    <row r="25" spans="2:4" ht="27.75" customHeight="1" x14ac:dyDescent="0.2">
      <c r="B25" s="11" t="s">
        <v>250</v>
      </c>
      <c r="C25" s="48" t="s">
        <v>251</v>
      </c>
      <c r="D25" s="36" t="s">
        <v>252</v>
      </c>
    </row>
    <row r="26" spans="2:4" ht="27.75" customHeight="1" x14ac:dyDescent="0.2">
      <c r="B26" s="11" t="s">
        <v>253</v>
      </c>
      <c r="C26" s="47" t="s">
        <v>287</v>
      </c>
      <c r="D26" s="36" t="s">
        <v>254</v>
      </c>
    </row>
    <row r="27" spans="2:4" ht="27.75" customHeight="1" x14ac:dyDescent="0.2">
      <c r="B27" s="11" t="s">
        <v>255</v>
      </c>
      <c r="C27" s="47" t="s">
        <v>288</v>
      </c>
      <c r="D27" s="36" t="s">
        <v>256</v>
      </c>
    </row>
  </sheetData>
  <mergeCells count="4">
    <mergeCell ref="B1:E1"/>
    <mergeCell ref="B3:D3"/>
    <mergeCell ref="B13:D13"/>
    <mergeCell ref="B20:D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E31"/>
  <sheetViews>
    <sheetView showGridLines="0" tabSelected="1" zoomScaleNormal="100" workbookViewId="0">
      <selection activeCell="C27" sqref="C27"/>
    </sheetView>
  </sheetViews>
  <sheetFormatPr baseColWidth="10" defaultColWidth="8.6640625" defaultRowHeight="15" x14ac:dyDescent="0.2"/>
  <cols>
    <col min="1" max="1" width="3" customWidth="1"/>
    <col min="2" max="2" width="36" customWidth="1"/>
    <col min="3" max="3" width="23.6640625" customWidth="1"/>
    <col min="4" max="4" width="20" customWidth="1"/>
    <col min="5" max="5" width="36" customWidth="1"/>
    <col min="6" max="6" width="3" customWidth="1"/>
  </cols>
  <sheetData>
    <row r="1" spans="2:5" ht="18" customHeight="1" x14ac:dyDescent="0.2">
      <c r="B1" s="5" t="s">
        <v>257</v>
      </c>
      <c r="C1" s="5"/>
      <c r="D1" s="5"/>
      <c r="E1" s="5"/>
    </row>
    <row r="2" spans="2:5" ht="7.5" customHeight="1" x14ac:dyDescent="0.2"/>
    <row r="3" spans="2:5" ht="16.5" customHeight="1" x14ac:dyDescent="0.2">
      <c r="B3" s="4" t="s">
        <v>258</v>
      </c>
      <c r="C3" s="4"/>
      <c r="D3" s="4"/>
      <c r="E3" s="4"/>
    </row>
    <row r="4" spans="2:5" ht="18" customHeight="1" x14ac:dyDescent="0.2">
      <c r="B4" s="22" t="s">
        <v>259</v>
      </c>
      <c r="C4" s="23" t="s">
        <v>260</v>
      </c>
      <c r="D4" s="23" t="s">
        <v>261</v>
      </c>
    </row>
    <row r="5" spans="2:5" ht="16.5" customHeight="1" x14ac:dyDescent="0.2">
      <c r="B5" s="11" t="s">
        <v>262</v>
      </c>
      <c r="C5" s="37">
        <f>Assumptions!C6</f>
        <v>2800000</v>
      </c>
      <c r="D5" s="38" t="s">
        <v>263</v>
      </c>
    </row>
    <row r="6" spans="2:5" ht="16.5" customHeight="1" x14ac:dyDescent="0.2">
      <c r="B6" s="6" t="s">
        <v>264</v>
      </c>
      <c r="C6" s="39">
        <f>Portfolio!P9</f>
        <v>7710108.7500525415</v>
      </c>
      <c r="D6" s="38" t="s">
        <v>265</v>
      </c>
    </row>
    <row r="7" spans="2:5" ht="16.5" customHeight="1" x14ac:dyDescent="0.2">
      <c r="B7" s="11" t="s">
        <v>266</v>
      </c>
      <c r="C7" s="37">
        <f>Portfolio!P18</f>
        <v>5456653.6446790192</v>
      </c>
      <c r="D7" s="38" t="s">
        <v>267</v>
      </c>
    </row>
    <row r="8" spans="2:5" ht="16.5" customHeight="1" x14ac:dyDescent="0.2">
      <c r="B8" s="11" t="s">
        <v>268</v>
      </c>
      <c r="C8" s="37">
        <f>SUM(Portfolio!C6:P6)</f>
        <v>645792</v>
      </c>
      <c r="D8" s="38" t="s">
        <v>269</v>
      </c>
    </row>
    <row r="9" spans="2:5" ht="16.5" customHeight="1" x14ac:dyDescent="0.2">
      <c r="B9" s="11" t="s">
        <v>141</v>
      </c>
      <c r="C9" s="37">
        <f>SUM(Portfolio!C7:P7)</f>
        <v>4832892.3167262115</v>
      </c>
      <c r="D9" s="38" t="s">
        <v>270</v>
      </c>
    </row>
    <row r="10" spans="2:5" ht="16.5" customHeight="1" x14ac:dyDescent="0.2">
      <c r="B10" s="6" t="s">
        <v>271</v>
      </c>
      <c r="C10" s="40">
        <f>Portfolio!C32</f>
        <v>7.5032527937713756E-2</v>
      </c>
      <c r="D10" s="38" t="s">
        <v>272</v>
      </c>
    </row>
    <row r="11" spans="2:5" ht="16.5" customHeight="1" x14ac:dyDescent="0.2">
      <c r="B11" s="11" t="s">
        <v>273</v>
      </c>
      <c r="C11" s="41">
        <f>Assumptions!C39</f>
        <v>6.3750000000000001E-2</v>
      </c>
      <c r="D11" s="38" t="s">
        <v>274</v>
      </c>
    </row>
    <row r="12" spans="2:5" ht="7.5" customHeight="1" x14ac:dyDescent="0.2"/>
    <row r="13" spans="2:5" ht="16.5" customHeight="1" x14ac:dyDescent="0.2">
      <c r="B13" s="4" t="s">
        <v>275</v>
      </c>
      <c r="C13" s="4"/>
      <c r="D13" s="4"/>
      <c r="E13" s="4"/>
    </row>
    <row r="14" spans="2:5" ht="16.5" customHeight="1" x14ac:dyDescent="0.2">
      <c r="B14" s="11" t="s">
        <v>165</v>
      </c>
      <c r="C14" s="37">
        <f>RetirementPlan!C12</f>
        <v>402172.35000210168</v>
      </c>
    </row>
    <row r="15" spans="2:5" ht="16.5" customHeight="1" x14ac:dyDescent="0.2">
      <c r="B15" s="11" t="s">
        <v>176</v>
      </c>
      <c r="C15" s="37">
        <f>RetirementPlan!C20</f>
        <v>381098.99105508142</v>
      </c>
    </row>
    <row r="16" spans="2:5" ht="16.5" customHeight="1" x14ac:dyDescent="0.2">
      <c r="B16" s="6" t="s">
        <v>178</v>
      </c>
      <c r="C16" s="42">
        <f>RetirementPlan!C23</f>
        <v>21073.358947020257</v>
      </c>
    </row>
    <row r="17" spans="2:5" ht="16.5" customHeight="1" x14ac:dyDescent="0.2">
      <c r="B17" s="6" t="s">
        <v>276</v>
      </c>
      <c r="C17" s="43">
        <f>RetirementPlan!C24</f>
        <v>1.0552962863760886</v>
      </c>
    </row>
    <row r="18" spans="2:5" ht="16.5" customHeight="1" x14ac:dyDescent="0.2">
      <c r="B18" s="11" t="s">
        <v>277</v>
      </c>
      <c r="C18" s="44">
        <f>RetirementPlan!C26</f>
        <v>0.95755321429071827</v>
      </c>
    </row>
    <row r="19" spans="2:5" ht="16.5" customHeight="1" x14ac:dyDescent="0.2">
      <c r="B19" s="11" t="s">
        <v>278</v>
      </c>
      <c r="C19" s="45">
        <f>RetirementPlan!C25</f>
        <v>20.231249441797068</v>
      </c>
    </row>
    <row r="20" spans="2:5" ht="7.5" customHeight="1" x14ac:dyDescent="0.2"/>
    <row r="21" spans="2:5" ht="16.5" customHeight="1" x14ac:dyDescent="0.2">
      <c r="B21" s="4" t="s">
        <v>279</v>
      </c>
      <c r="C21" s="4"/>
      <c r="D21" s="4"/>
      <c r="E21" s="4"/>
    </row>
    <row r="22" spans="2:5" ht="16.5" customHeight="1" x14ac:dyDescent="0.2">
      <c r="B22" s="11" t="s">
        <v>280</v>
      </c>
      <c r="C22" s="37">
        <f>TaxPlan!C10</f>
        <v>78363.910200000013</v>
      </c>
    </row>
    <row r="23" spans="2:5" ht="16.5" customHeight="1" x14ac:dyDescent="0.2">
      <c r="B23" s="6" t="s">
        <v>281</v>
      </c>
      <c r="C23" s="39">
        <f>TaxPlan!C22</f>
        <v>1018730.8326000002</v>
      </c>
    </row>
    <row r="24" spans="2:5" ht="16.5" customHeight="1" x14ac:dyDescent="0.2">
      <c r="B24" s="11" t="s">
        <v>282</v>
      </c>
      <c r="C24" s="37">
        <f>TaxPlan!C17</f>
        <v>1598460.8745809651</v>
      </c>
    </row>
    <row r="25" spans="2:5" ht="16.5" customHeight="1" x14ac:dyDescent="0.2">
      <c r="B25" s="11" t="s">
        <v>229</v>
      </c>
      <c r="C25" s="37">
        <f>EstatePlan!C11</f>
        <v>16303794.56464963</v>
      </c>
    </row>
    <row r="26" spans="2:5" ht="23" customHeight="1" x14ac:dyDescent="0.2">
      <c r="B26" s="6" t="s">
        <v>283</v>
      </c>
      <c r="C26" s="39">
        <f>EstatePlan!C18</f>
        <v>14049220.162714643</v>
      </c>
    </row>
    <row r="27" spans="2:5" ht="18" customHeight="1" x14ac:dyDescent="0.2">
      <c r="B27" s="11" t="s">
        <v>284</v>
      </c>
      <c r="C27" s="37">
        <f>Assumptions!C42</f>
        <v>1200000</v>
      </c>
    </row>
    <row r="28" spans="2:5" ht="16.5" customHeight="1" x14ac:dyDescent="0.2">
      <c r="B28" s="4" t="s">
        <v>285</v>
      </c>
      <c r="C28" s="4"/>
      <c r="D28" s="4"/>
      <c r="E28" s="4"/>
    </row>
    <row r="29" spans="2:5" ht="69.75" customHeight="1" x14ac:dyDescent="0.2">
      <c r="B29" s="1" t="s">
        <v>286</v>
      </c>
      <c r="C29" s="1"/>
      <c r="D29" s="1"/>
      <c r="E29" s="1"/>
    </row>
    <row r="30" spans="2:5" ht="4.5" customHeight="1" x14ac:dyDescent="0.2">
      <c r="B30" s="1"/>
      <c r="C30" s="1"/>
      <c r="D30" s="1"/>
      <c r="E30" s="1"/>
    </row>
    <row r="31" spans="2:5" ht="4.5" customHeight="1" x14ac:dyDescent="0.2">
      <c r="B31" s="1"/>
      <c r="C31" s="1"/>
      <c r="D31" s="1"/>
      <c r="E31" s="1"/>
    </row>
  </sheetData>
  <mergeCells count="6">
    <mergeCell ref="B29:E31"/>
    <mergeCell ref="B1:E1"/>
    <mergeCell ref="B3:E3"/>
    <mergeCell ref="B13:E13"/>
    <mergeCell ref="B21:E21"/>
    <mergeCell ref="B28:E2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Portfolio</vt:lpstr>
      <vt:lpstr>RetirementPlan</vt:lpstr>
      <vt:lpstr>TaxPlan</vt:lpstr>
      <vt:lpstr>EstatePlan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Vatsal Chavda</dc:creator>
  <cp:keywords/>
  <dc:description/>
  <cp:lastModifiedBy>Vatsal Maheshbhai Chavda</cp:lastModifiedBy>
  <cp:revision>0</cp:revision>
  <dcterms:created xsi:type="dcterms:W3CDTF">2026-03-10T22:26:11Z</dcterms:created>
  <dcterms:modified xsi:type="dcterms:W3CDTF">2026-03-11T03:10:07Z</dcterms:modified>
  <cp:category/>
  <dc:language>en-US</dc:language>
</cp:coreProperties>
</file>