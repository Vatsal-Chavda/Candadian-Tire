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vatsalchavda/Desktop/ExcelGHub/"/>
    </mc:Choice>
  </mc:AlternateContent>
  <xr:revisionPtr revIDLastSave="0" documentId="8_{A0BB0841-AA4C-2043-9A36-9B138A22053B}" xr6:coauthVersionLast="47" xr6:coauthVersionMax="47" xr10:uidLastSave="{00000000-0000-0000-0000-000000000000}"/>
  <bookViews>
    <workbookView xWindow="0" yWindow="660" windowWidth="29400" windowHeight="18460" tabRatio="500" activeTab="6" xr2:uid="{00000000-000D-0000-FFFF-FFFF00000000}"/>
  </bookViews>
  <sheets>
    <sheet name="Cover" sheetId="1" r:id="rId1"/>
    <sheet name="CustomerProfiles" sheetId="2" r:id="rId2"/>
    <sheet name="TransactionMonitoring" sheetId="3" r:id="rId3"/>
    <sheet name="CaseInvestigationLog" sheetId="4" r:id="rId4"/>
    <sheet name="STR_Filings" sheetId="5" r:id="rId5"/>
    <sheet name="RiskScoringModel" sheetId="6" r:id="rId6"/>
    <sheet name="TypologyReference"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3" i="6" l="1"/>
  <c r="F13" i="6"/>
  <c r="E13" i="6"/>
  <c r="D13" i="6"/>
  <c r="G12" i="6"/>
  <c r="G11" i="6"/>
  <c r="G10" i="6"/>
  <c r="G9" i="6"/>
  <c r="G8" i="6"/>
  <c r="G7" i="6"/>
  <c r="G6" i="6"/>
  <c r="G5" i="6"/>
</calcChain>
</file>

<file path=xl/sharedStrings.xml><?xml version="1.0" encoding="utf-8"?>
<sst xmlns="http://schemas.openxmlformats.org/spreadsheetml/2006/main" count="426" uniqueCount="321">
  <si>
    <t>AML TRANSACTION MONITORING &amp; CASE INVESTIGATION</t>
  </si>
  <si>
    <t>Simulated Case Study  |  CAMS Candidate Research Project  |  Vatsal Chavda, BCom Finance</t>
  </si>
  <si>
    <t>PROJECT OVERVIEW</t>
  </si>
  <si>
    <t>Purpose</t>
  </si>
  <si>
    <t>Simulate a financial crime investigation workflow — from transaction monitoring through STR filing — applying CAMS-level AML knowledge to realistic case scenarios.</t>
  </si>
  <si>
    <t>Scope</t>
  </si>
  <si>
    <t>3 simulated customer accounts; 45 flagged transactions; 6 investigation cases; 3 Suspicious Transaction Reports prepared to FINTRAC standard.</t>
  </si>
  <si>
    <t>Frameworks Applied</t>
  </si>
  <si>
    <t>FINTRAC (PCMLTFA), FATF 40 Recommendations, OSFI AML/ATF Guidelines, OFAC/UN Sanctions, KYC/EDD, Risk-Based Approach</t>
  </si>
  <si>
    <t>Typologies Covered</t>
  </si>
  <si>
    <t>Structuring (Smurfing), Trade-Based Money Laundering, Shell Company Layering, Rapid Movement of Funds, Sanctions Evasion</t>
  </si>
  <si>
    <t>Prepared By</t>
  </si>
  <si>
    <t>Date</t>
  </si>
  <si>
    <t>WORKBOOK CONTENTS</t>
  </si>
  <si>
    <t>Customer Profiles</t>
  </si>
  <si>
    <t>KYC and EDD profiles for three simulated clients; risk ratings and account flags</t>
  </si>
  <si>
    <t>Transaction Monitoring</t>
  </si>
  <si>
    <t>45 flagged transactions with rule triggers, risk scores, and initial analyst assessment</t>
  </si>
  <si>
    <t>Case Investigation Log</t>
  </si>
  <si>
    <t>6 investigation cases with timeline, findings, evidence, and disposition decisions</t>
  </si>
  <si>
    <t>STR Filings</t>
  </si>
  <si>
    <t>3 Suspicious Transaction Reports prepared to FINTRAC regulatory standard</t>
  </si>
  <si>
    <t>Risk Scoring Model</t>
  </si>
  <si>
    <t>Weighted risk model scoring customers across 8 AML risk factors</t>
  </si>
  <si>
    <t>Typology Reference</t>
  </si>
  <si>
    <t>Reference guide covering 5 AML typologies with red flag indicators and case examples</t>
  </si>
  <si>
    <t>CUSTOMER KYC / EDD PROFILES</t>
  </si>
  <si>
    <t>CLIENT RISK PROFILES — ENHANCED DUE DILIGENCE</t>
  </si>
  <si>
    <t>Client ID</t>
  </si>
  <si>
    <t>Client Name</t>
  </si>
  <si>
    <t>Account Type</t>
  </si>
  <si>
    <t>Industry / Occupation</t>
  </si>
  <si>
    <t>Country of Origin</t>
  </si>
  <si>
    <t>PEP / Sanctions</t>
  </si>
  <si>
    <t>Risk Rating</t>
  </si>
  <si>
    <t>EDD Required</t>
  </si>
  <si>
    <t>C-001</t>
  </si>
  <si>
    <t>NovaTrade Imports Ltd.</t>
  </si>
  <si>
    <t>Corporate — Business</t>
  </si>
  <si>
    <t>Import/Export (Electronics)</t>
  </si>
  <si>
    <t>Canada / UAE</t>
  </si>
  <si>
    <t>No</t>
  </si>
  <si>
    <t>HIGH</t>
  </si>
  <si>
    <t>Yes</t>
  </si>
  <si>
    <t>C-002</t>
  </si>
  <si>
    <t>James R. Whitmore</t>
  </si>
  <si>
    <t>Personal — Private Banking</t>
  </si>
  <si>
    <t>Consultant (Self-Employed)</t>
  </si>
  <si>
    <t>Canada</t>
  </si>
  <si>
    <t>LOW</t>
  </si>
  <si>
    <t>C-003</t>
  </si>
  <si>
    <t>Solaris Global Corp.</t>
  </si>
  <si>
    <t>Corporate — Offshore</t>
  </si>
  <si>
    <t>Holding Company (Shell)</t>
  </si>
  <si>
    <t>Cayman Islands</t>
  </si>
  <si>
    <t>VERY HIGH</t>
  </si>
  <si>
    <t>RISK RATING CRITERIA APPLIED</t>
  </si>
  <si>
    <t>Geography</t>
  </si>
  <si>
    <t>High-risk jurisdictions per FATF greylist/blacklist, offshore financial centres, sanctioned countries</t>
  </si>
  <si>
    <t>Industry</t>
  </si>
  <si>
    <t>Cash-intensive businesses, import/export, real estate, shell/holding companies, arms dealers</t>
  </si>
  <si>
    <t>PEP Status</t>
  </si>
  <si>
    <t>Politically Exposed Persons and their immediate family members or close associates</t>
  </si>
  <si>
    <t>Transaction Behaviour</t>
  </si>
  <si>
    <t>Structuring, rapid movement of funds, round-dollar transactions, inconsistent with stated purpose</t>
  </si>
  <si>
    <t>Account Structure</t>
  </si>
  <si>
    <t>Multiple accounts, frequent beneficiary changes, use of nominees or third-party payers</t>
  </si>
  <si>
    <t>TRANSACTION MONITORING — FLAGGED ACTIVITY LOG</t>
  </si>
  <si>
    <t>ALERT QUEUE — 15 FLAGGED TRANSACTIONS (SAMPLE)</t>
  </si>
  <si>
    <t>Txn ID</t>
  </si>
  <si>
    <t>Txn Type</t>
  </si>
  <si>
    <t>Amount (CAD)</t>
  </si>
  <si>
    <t>Counterparty</t>
  </si>
  <si>
    <t>Rule Triggered</t>
  </si>
  <si>
    <t>Risk Score</t>
  </si>
  <si>
    <t>Analyst Decision</t>
  </si>
  <si>
    <t>Notes</t>
  </si>
  <si>
    <t>TXN-001</t>
  </si>
  <si>
    <t>2026-01-05</t>
  </si>
  <si>
    <t>Wire Out</t>
  </si>
  <si>
    <t>$148,000</t>
  </si>
  <si>
    <t>NovaTrade Dubai LLC</t>
  </si>
  <si>
    <t>Threshold Alert — &gt;$100K</t>
  </si>
  <si>
    <t>85</t>
  </si>
  <si>
    <t>Escalate to Investigation</t>
  </si>
  <si>
    <t>Rapid wire to high-risk jurisdiction, no invoice provided</t>
  </si>
  <si>
    <t>TXN-002</t>
  </si>
  <si>
    <t>2026-01-07</t>
  </si>
  <si>
    <t>$149,500</t>
  </si>
  <si>
    <t>Structuring — Near-threshold repeat</t>
  </si>
  <si>
    <t>90</t>
  </si>
  <si>
    <t>2nd wire in 3 days, just below $150K — possible structuring</t>
  </si>
  <si>
    <t>TXN-003</t>
  </si>
  <si>
    <t>2026-01-12</t>
  </si>
  <si>
    <t>Deposit</t>
  </si>
  <si>
    <t>$490,000</t>
  </si>
  <si>
    <t>Unknown Offshore Entity</t>
  </si>
  <si>
    <t>Large Cash — Unusual Source</t>
  </si>
  <si>
    <t>95</t>
  </si>
  <si>
    <t>Shell co. receiving large deposit from unidentified offshore source</t>
  </si>
  <si>
    <t>TXN-004</t>
  </si>
  <si>
    <t>2026-01-15</t>
  </si>
  <si>
    <t>$9,800</t>
  </si>
  <si>
    <t>Cash</t>
  </si>
  <si>
    <t>Near-threshold Cash Deposit</t>
  </si>
  <si>
    <t>60</t>
  </si>
  <si>
    <t>Monitor</t>
  </si>
  <si>
    <t>Slightly below $10K LCTR threshold — note for pattern</t>
  </si>
  <si>
    <t>TXN-005</t>
  </si>
  <si>
    <t>2026-01-16</t>
  </si>
  <si>
    <t>$9,500</t>
  </si>
  <si>
    <t>Near-threshold Cash Deposit — Pattern</t>
  </si>
  <si>
    <t>72</t>
  </si>
  <si>
    <t>2nd near-threshold cash deposit in 2 days — smurfing indicator</t>
  </si>
  <si>
    <t>TXN-006</t>
  </si>
  <si>
    <t>2026-01-20</t>
  </si>
  <si>
    <t>$485,000</t>
  </si>
  <si>
    <t>Solaris Panama S.A.</t>
  </si>
  <si>
    <t>Rapid Movement — Same-day</t>
  </si>
  <si>
    <t>92</t>
  </si>
  <si>
    <t>Funds received and wired out same business day — layering</t>
  </si>
  <si>
    <t>TXN-007</t>
  </si>
  <si>
    <t>2026-01-22</t>
  </si>
  <si>
    <t>Trade Payment</t>
  </si>
  <si>
    <t>$75,000</t>
  </si>
  <si>
    <t>Guangzhou Electronics Ltd.</t>
  </si>
  <si>
    <t>Trade-Based ML Indicator</t>
  </si>
  <si>
    <t>78</t>
  </si>
  <si>
    <t>Invoice value inconsistent with market rate — over-invoicing</t>
  </si>
  <si>
    <t>TXN-008</t>
  </si>
  <si>
    <t>2026-02-01</t>
  </si>
  <si>
    <t>$45,000</t>
  </si>
  <si>
    <t>Unknown — BVI Entity</t>
  </si>
  <si>
    <t>Unusual Beneficiary</t>
  </si>
  <si>
    <t>65</t>
  </si>
  <si>
    <t>Request Documentation</t>
  </si>
  <si>
    <t>No prior relationship with beneficiary; purpose unclear</t>
  </si>
  <si>
    <t>TXN-009</t>
  </si>
  <si>
    <t>2026-02-03</t>
  </si>
  <si>
    <t>$320,000</t>
  </si>
  <si>
    <t>Third-Party Payer</t>
  </si>
  <si>
    <t>Third-Party Payment</t>
  </si>
  <si>
    <t>88</t>
  </si>
  <si>
    <t>Payment from unrelated third party — no business rationale</t>
  </si>
  <si>
    <t>TXN-010</t>
  </si>
  <si>
    <t>2026-02-10</t>
  </si>
  <si>
    <t>$210,000</t>
  </si>
  <si>
    <t>NovaTrade Abu Dhabi</t>
  </si>
  <si>
    <t>Sanctions Proximity — UAE</t>
  </si>
  <si>
    <t>80</t>
  </si>
  <si>
    <t>Sanctions Screen Required</t>
  </si>
  <si>
    <t>Destination country flagged for enhanced screening</t>
  </si>
  <si>
    <t>TXN-011</t>
  </si>
  <si>
    <t>2026-02-14</t>
  </si>
  <si>
    <t>$9,200</t>
  </si>
  <si>
    <t>Near-threshold Cash — Continued Pattern</t>
  </si>
  <si>
    <t>82</t>
  </si>
  <si>
    <t>3rd near-threshold cash deposit — structuring pattern confirmed</t>
  </si>
  <si>
    <t>TXN-012</t>
  </si>
  <si>
    <t>2026-02-18</t>
  </si>
  <si>
    <t>$310,000</t>
  </si>
  <si>
    <t>Cayman Holding Ltd.</t>
  </si>
  <si>
    <t>Offshore Shell Transfer</t>
  </si>
  <si>
    <t>91</t>
  </si>
  <si>
    <t>Wire to known shell network; no legitimate business purpose identified</t>
  </si>
  <si>
    <t>TXN-013</t>
  </si>
  <si>
    <t>2026-02-22</t>
  </si>
  <si>
    <t>LC Payment</t>
  </si>
  <si>
    <t>$95,000</t>
  </si>
  <si>
    <t>TBML — LC Discrepancy</t>
  </si>
  <si>
    <t>76</t>
  </si>
  <si>
    <t>Letter of credit description inconsistent with declared goods</t>
  </si>
  <si>
    <t>TXN-014</t>
  </si>
  <si>
    <t>2026-03-01</t>
  </si>
  <si>
    <t>Wire In</t>
  </si>
  <si>
    <t>$88,000</t>
  </si>
  <si>
    <t>Unknown Source</t>
  </si>
  <si>
    <t>Unexplained Inbound Wire</t>
  </si>
  <si>
    <t>70</t>
  </si>
  <si>
    <t>Inbound wire inconsistent with client's stated income profile</t>
  </si>
  <si>
    <t>TXN-015</t>
  </si>
  <si>
    <t>2026-03-05</t>
  </si>
  <si>
    <t>$550,000</t>
  </si>
  <si>
    <t>Unusually Large Deposit</t>
  </si>
  <si>
    <t>96</t>
  </si>
  <si>
    <t>Largest deposit in account history; no supporting documentation</t>
  </si>
  <si>
    <t>CASE INVESTIGATION LOG</t>
  </si>
  <si>
    <t>ACTIVE AND CLOSED INVESTIGATION CASES</t>
  </si>
  <si>
    <t>Case ID</t>
  </si>
  <si>
    <t>Opened</t>
  </si>
  <si>
    <t>Typology</t>
  </si>
  <si>
    <t>Transactions Linked</t>
  </si>
  <si>
    <t>Key Findings</t>
  </si>
  <si>
    <t>Analyst Recommendation</t>
  </si>
  <si>
    <t>STR Filed</t>
  </si>
  <si>
    <t>Disposition</t>
  </si>
  <si>
    <t>INV-001</t>
  </si>
  <si>
    <t>2026-01-08</t>
  </si>
  <si>
    <t>Trade-Based Money Laundering</t>
  </si>
  <si>
    <t>TXN-001, TXN-002, TXN-007, TXN-013</t>
  </si>
  <si>
    <t>Client conducting repeated high-value wires to UAE-based entity with invoice discrepancies; over-invoicing pattern consistent with TBML. No legitimate commercial rationale confirmed.</t>
  </si>
  <si>
    <t>File STR with FINTRAC; escalate to Senior Investigator; consider account restriction pending review.</t>
  </si>
  <si>
    <t>Yes — STR-001</t>
  </si>
  <si>
    <t>Substantiated — STR Filed</t>
  </si>
  <si>
    <t>INV-002</t>
  </si>
  <si>
    <t>2026-01-18</t>
  </si>
  <si>
    <t>Structuring (Smurfing)</t>
  </si>
  <si>
    <t>TXN-004, TXN-005, TXN-011</t>
  </si>
  <si>
    <t>Three near-threshold cash deposits over 30 days, consistently below $10,000 LCTR threshold. Pattern is deliberate and consistent with structuring to avoid LCTR filing obligations.</t>
  </si>
  <si>
    <t>File STR with FINTRAC; document structuring pattern; issue LCTR for each transaction retroactively.</t>
  </si>
  <si>
    <t>Yes — STR-002</t>
  </si>
  <si>
    <t>INV-003</t>
  </si>
  <si>
    <t>2026-01-21</t>
  </si>
  <si>
    <t>Shell Company Layering</t>
  </si>
  <si>
    <t>TXN-003, TXN-006, TXN-009, TXN-012, TXN-015</t>
  </si>
  <si>
    <t>Offshore shell company receiving large deposits from unidentified sources and immediately transferring to secondary shell entities. Classic three-layer placement-layering-integration structure. No KYC documentation available for counterparties.</t>
  </si>
  <si>
    <t>File STR with FINTRAC; escalate to Senior Investigator; recommend account termination; refer to law enforcement if warranted.</t>
  </si>
  <si>
    <t>Yes — STR-003</t>
  </si>
  <si>
    <t>Substantiated — STR Filed / Account Under Review</t>
  </si>
  <si>
    <t>INV-004</t>
  </si>
  <si>
    <t>2026-02-12</t>
  </si>
  <si>
    <t>Wire transfer to UAE counterparty flagged for enhanced screening. Sanctions screen conducted against OFAC SDN List and OSFI Consolidated List. Counterparty not on current sanctions lists but operates in high-risk jurisdiction.</t>
  </si>
  <si>
    <t>No sanctions match confirmed. Document screening outcome. Continue enhanced monitoring of UAE-related transactions.</t>
  </si>
  <si>
    <t>Closed — No Violation / Enhanced Monitoring Applied</t>
  </si>
  <si>
    <t>INV-005</t>
  </si>
  <si>
    <t>2026-02-20</t>
  </si>
  <si>
    <t>Unexplained Inbound Funds</t>
  </si>
  <si>
    <t>TXN-008, TXN-014</t>
  </si>
  <si>
    <t>Two inbound wires from unknown entities inconsistent with client's stated occupation and income profile. Client unable to provide satisfactory explanation or documentation for source of funds.</t>
  </si>
  <si>
    <t>Request source of funds documentation. If unsatisfactory response within 10 business days, file STR and consider account restriction.</t>
  </si>
  <si>
    <t>Pending</t>
  </si>
  <si>
    <t>Open — Awaiting Client Response</t>
  </si>
  <si>
    <t>INV-006</t>
  </si>
  <si>
    <t>2026-03-07</t>
  </si>
  <si>
    <t>Third-Party Payment / Unknown Beneficial Owner</t>
  </si>
  <si>
    <t>Large deposit received from unrelated third-party entity with no documented relationship to client. Beneficial ownership of paying entity could not be confirmed. Consistent with placement stage activity.</t>
  </si>
  <si>
    <t>Escalate to Senior Investigator. File STR. Initiate beneficial ownership review under PCMLTFA requirements.</t>
  </si>
  <si>
    <t>Yes — STR-003 (Supplemental)</t>
  </si>
  <si>
    <t>Substantiated — Supplemental STR Filed</t>
  </si>
  <si>
    <t>SUSPICIOUS TRANSACTION REPORTS — FINTRAC FORMAT</t>
  </si>
  <si>
    <t>STR-001  —  INV-001 — NovaTrade Imports Ltd.</t>
  </si>
  <si>
    <t>Reporting Entity</t>
  </si>
  <si>
    <t>Simulated Canadian Financial Institution — AML Compliance Department</t>
  </si>
  <si>
    <t>Report Date</t>
  </si>
  <si>
    <t>February 15, 2026</t>
  </si>
  <si>
    <t>Account Number</t>
  </si>
  <si>
    <t>CAD Business Account — [Simulated]</t>
  </si>
  <si>
    <t>Transactions Reported</t>
  </si>
  <si>
    <t>Total Value</t>
  </si>
  <si>
    <t>$467,500 CAD</t>
  </si>
  <si>
    <t>Date Range</t>
  </si>
  <si>
    <t>January 5, 2026 — February 22, 2026</t>
  </si>
  <si>
    <t>Trade-Based Money Laundering (TBML)</t>
  </si>
  <si>
    <t>Grounds for Suspicion</t>
  </si>
  <si>
    <t>Client conducted repeated high-value international wire transfers to a UAE-based entity (NovaTrade Dubai LLC) accompanied by commercial invoices that were inconsistent with prevailing market values for the declared goods. Two wire transfers in a three-day period fell just below the $150,000 reporting threshold, consistent with structuring behaviour. A letter of credit reviewed during the investigation showed significant discrepancies between declared goods and invoice values, consistent with over-invoicing — a primary TBML technique. No legitimate commercial rationale was established for the volume or frequency of transactions relative to the client's stated business purpose.</t>
  </si>
  <si>
    <t>Regulatory Basis</t>
  </si>
  <si>
    <t>Section 7 PCMLTFA — Reasonable grounds to suspect that transactions are related to the commission of a money laundering offence or a terrorist activity financing offence.</t>
  </si>
  <si>
    <t>Action Taken</t>
  </si>
  <si>
    <t>STR filed with FINTRAC. Case escalated to Senior Investigator. Account placed under enhanced monitoring. No account restriction imposed pending further review.</t>
  </si>
  <si>
    <t>STR-002  —  INV-002 — James R. Whitmore</t>
  </si>
  <si>
    <t>February 20, 2026</t>
  </si>
  <si>
    <t>CAD Personal Account — [Simulated]</t>
  </si>
  <si>
    <t>$28,500 CAD</t>
  </si>
  <si>
    <t>January 15, 2026 — February 14, 2026</t>
  </si>
  <si>
    <t>The client made three separate cash deposits over a 30-day period, each falling below the $10,000 LCTR reporting threshold ($9,800; $9,500; $9,200). The consistent near-threshold amounts and the frequency of deposits are inconsistent with the client's stated occupation as an independent consultant. The pattern is consistent with deliberate structuring to avoid the obligation to report large cash transactions to FINTRAC under the PCMLTFA. No legitimate business explanation was provided by the client when contacted for clarification.</t>
  </si>
  <si>
    <t>Section 7 PCMLTFA — Reasonable grounds to suspect structuring activity designed to circumvent LCTR reporting obligations. LCTRs filed retroactively for each transaction.</t>
  </si>
  <si>
    <t>STR filed with FINTRAC. LCTRs filed for all three transactions. Client placed under enhanced monitoring. Escalated to Senior Investigator for further review.</t>
  </si>
  <si>
    <t>STR-003  —  INV-003 / INV-006 — Solaris Global Corp.</t>
  </si>
  <si>
    <t>March 10, 2026</t>
  </si>
  <si>
    <t>CAD Corporate Account — [Simulated]</t>
  </si>
  <si>
    <t>$2,155,000 CAD</t>
  </si>
  <si>
    <t>January 12, 2026 — March 5, 2026</t>
  </si>
  <si>
    <t>Shell Company Layering / Third-Party Payment / Unknown Beneficial Owner</t>
  </si>
  <si>
    <t>Solaris Global Corp., an offshore holding company incorporated in the Cayman Islands, received multiple large deposits from unidentified offshore entities over a two-month period. In each case, funds were transferred out of the account on the same business day or within 24 hours to secondary shell entities in Panama and the Cayman Islands. A third-party payment of $320,000 was received from an entity with no documented relationship to the client. Beneficial ownership of all counterparties could not be confirmed despite EDD procedures. The pattern is consistent with the layering stage of money laundering — specifically the use of shell companies to move and obscure the origin of criminal proceeds. No legitimate commercial purpose was established for any transaction.</t>
  </si>
  <si>
    <t>Section 7 PCMLTFA — Reasonable grounds to suspect money laundering through shell company structures. Beneficial ownership requirements under PCMLTFA cannot be satisfied. Supplemental report filed following INV-006 findings.</t>
  </si>
  <si>
    <t>STR and supplemental STR filed with FINTRAC. Case referred to Senior Investigator with recommendation for account termination. Potential referral to law enforcement under consideration. EDD review initiated for all Cayman-registered counterparties.</t>
  </si>
  <si>
    <t>CUSTOMER RISK SCORING MODEL</t>
  </si>
  <si>
    <t>RISK FACTOR WEIGHTING &amp; CUSTOMER SCORES</t>
  </si>
  <si>
    <t>Risk Factor</t>
  </si>
  <si>
    <t>Weight (%)</t>
  </si>
  <si>
    <t>C-001 Score</t>
  </si>
  <si>
    <t>C-002 Score</t>
  </si>
  <si>
    <t>C-003 Score</t>
  </si>
  <si>
    <t>Weighted Contribution (C-003)</t>
  </si>
  <si>
    <t>Geographic Risk (Jurisdiction)</t>
  </si>
  <si>
    <t>Industry / Business Type</t>
  </si>
  <si>
    <t>Transaction Volume &amp; Frequency</t>
  </si>
  <si>
    <t>Source of Funds / Wealth</t>
  </si>
  <si>
    <t>PEP / Sanctions Exposure</t>
  </si>
  <si>
    <t>Beneficial Ownership Transparency</t>
  </si>
  <si>
    <t>Account Behaviour vs. Expected Profile</t>
  </si>
  <si>
    <t>Third-Party Involvement</t>
  </si>
  <si>
    <t>COMPOSITE RISK SCORE</t>
  </si>
  <si>
    <t>100%</t>
  </si>
  <si>
    <t>RISK RATING THRESHOLDS</t>
  </si>
  <si>
    <t>0 – 39</t>
  </si>
  <si>
    <t>Standard monitoring applies. Annual KYC review.</t>
  </si>
  <si>
    <t>40 – 59</t>
  </si>
  <si>
    <t>MEDIUM</t>
  </si>
  <si>
    <t>Enhanced monitoring. Annual KYC review with transaction sampling.</t>
  </si>
  <si>
    <t>60 – 79</t>
  </si>
  <si>
    <t>Enhanced Due Diligence required. Semi-annual KYC review. Senior approval for high-value transactions.</t>
  </si>
  <si>
    <t>80 – 100</t>
  </si>
  <si>
    <t>Full EDD required. Quarterly review. Senior Investigator sign-off on all transactions over $10,000. STR consideration on any unusual activity.</t>
  </si>
  <si>
    <t>AML TYPOLOGY REFERENCE GUIDE</t>
  </si>
  <si>
    <t>FIVE KEY MONEY LAUNDERING TYPOLOGIES WITH RED FLAG INDICATORS</t>
  </si>
  <si>
    <t>Red Flag Indicators</t>
  </si>
  <si>
    <t>Case Example (This Study)</t>
  </si>
  <si>
    <t>Multiple transactions just below reporting thresholds; same-day or consecutive-day deposits; cash deposits inconsistent with income profile; no business rationale for cash use.</t>
  </si>
  <si>
    <t>C-002 (James Whitmore) — Three cash deposits of $9,800, $9,500, and $9,200 over 30 days. Pattern consistent with deliberate structuring to avoid $10,000 LCTR threshold. STR-002 filed.</t>
  </si>
  <si>
    <t>Invoice values inconsistent with market prices; over/under-invoicing; multiple payments for single invoice; goods described vaguely; payments routed through high-risk jurisdictions; use of letters of credit.</t>
  </si>
  <si>
    <t>C-001 (NovaTrade Imports) — Invoice discrepancies and over-invoicing pattern identified in trade payments to UAE. Wire transfers just below threshold. STR-001 filed.</t>
  </si>
  <si>
    <t>Beneficial ownership cannot be confirmed; funds move rapidly between accounts with no business purpose; offshore incorporation in secrecy jurisdictions; third-party payments with no documented relationship; same-day fund movement.</t>
  </si>
  <si>
    <t>C-003 (Solaris Global) — Offshore shell receiving large unidentified deposits and immediately transferring to secondary shells in Panama and Cayman Islands. STR-003 filed.</t>
  </si>
  <si>
    <t>Sanctions Evasion</t>
  </si>
  <si>
    <t>Transactions involving jurisdictions on OFAC/OSFI/UN sanctions lists; use of shell companies or nominees to obscure sanctioned party identity; payments described vaguely; counterparty in sanctioned country.</t>
  </si>
  <si>
    <t>C-001 (NovaTrade) — TXN-010 flagged for UAE proximity screening. Sanctions screen conducted against OFAC SDN and OSFI lists. No match confirmed; enhanced monitoring applied.</t>
  </si>
  <si>
    <t>Third-Party / Unknown Beneficial Owner</t>
  </si>
  <si>
    <t>Payment received from entity with no documented relationship to account holder; beneficial ownership of paying entity cannot be confirmed; payment purpose not established; inconsistent with expected account activity.</t>
  </si>
  <si>
    <t>C-003 (Solaris Global) — TXN-009: $320,000 received from unrelated third-party entity. Beneficial ownership of payer unconfirmed. Filed as supplemental to STR-003.</t>
  </si>
  <si>
    <t>Vatsal Chavda, BCom Finance (Seneca Polytechnic, Expected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</si>
</sst>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7"/>
      <color rgb="FFFFFFFF"/>
      <name val="Arial"/>
      <charset val="1"/>
    </font>
    <font>
      <sz val="10"/>
      <color rgb="FFFFFFFF"/>
      <name val="Arial"/>
      <charset val="1"/>
    </font>
    <font>
      <b/>
      <sz val="10"/>
      <color rgb="FFFFFFFF"/>
      <name val="Arial"/>
      <charset val="1"/>
    </font>
    <font>
      <b/>
      <sz val="10"/>
      <color rgb="FF1A1A1A"/>
      <name val="Arial"/>
      <charset val="1"/>
    </font>
    <font>
      <sz val="10"/>
      <color rgb="FF1A1A1A"/>
      <name val="Arial"/>
      <charset val="1"/>
    </font>
    <font>
      <b/>
      <sz val="12"/>
      <color rgb="FFFFFFFF"/>
      <name val="Arial"/>
      <charset val="1"/>
    </font>
    <font>
      <b/>
      <sz val="9"/>
      <color rgb="FF1A1A1A"/>
      <name val="Arial"/>
      <charset val="1"/>
    </font>
    <font>
      <sz val="10"/>
      <color rgb="FF375623"/>
      <name val="Arial"/>
      <charset val="1"/>
    </font>
    <font>
      <b/>
      <sz val="10"/>
      <color rgb="FF375623"/>
      <name val="Arial"/>
      <charset val="1"/>
    </font>
    <font>
      <b/>
      <sz val="10"/>
      <color rgb="FFC00000"/>
      <name val="Arial"/>
      <charset val="1"/>
    </font>
    <font>
      <b/>
      <sz val="10"/>
      <color rgb="FF7F6000"/>
      <name val="Arial"/>
      <charset val="1"/>
    </font>
    <font>
      <sz val="10"/>
      <color rgb="FFC00000"/>
      <name val="Arial"/>
      <charset val="1"/>
    </font>
    <font>
      <sz val="10"/>
      <color rgb="FF1A1A1A"/>
      <name val="Arial"/>
      <family val="2"/>
    </font>
  </fonts>
  <fills count="10">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EEAF1"/>
        <bgColor rgb="FFE2EFDA"/>
      </patternFill>
    </fill>
    <fill>
      <patternFill patternType="solid">
        <fgColor rgb="FFFFFFFF"/>
        <bgColor rgb="FFFFF2CC"/>
      </patternFill>
    </fill>
    <fill>
      <patternFill patternType="solid">
        <fgColor rgb="FFBDD7EE"/>
        <bgColor rgb="FF99CCFF"/>
      </patternFill>
    </fill>
    <fill>
      <patternFill patternType="solid">
        <fgColor rgb="FFE2EFDA"/>
        <bgColor rgb="FFDEEAF1"/>
      </patternFill>
    </fill>
    <fill>
      <patternFill patternType="solid">
        <fgColor rgb="FFFFE0E0"/>
        <bgColor rgb="FFFFF2CC"/>
      </patternFill>
    </fill>
    <fill>
      <patternFill patternType="solid">
        <fgColor rgb="FFFFF2CC"/>
        <bgColor rgb="FFFFE0E0"/>
      </patternFill>
    </fill>
  </fills>
  <borders count="7">
    <border>
      <left/>
      <right/>
      <top/>
      <bottom/>
      <diagonal/>
    </border>
    <border>
      <left style="thin">
        <color rgb="FF2E75B6"/>
      </left>
      <right/>
      <top style="thin">
        <color rgb="FF2E75B6"/>
      </top>
      <bottom style="thin">
        <color rgb="FF2E75B6"/>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style="thin">
        <color rgb="FF1F4E79"/>
      </left>
      <right/>
      <top style="thin">
        <color rgb="FF1F4E79"/>
      </top>
      <bottom style="thin">
        <color rgb="FF1F4E79"/>
      </bottom>
      <diagonal/>
    </border>
    <border>
      <left style="thin">
        <color rgb="FF1F4E79"/>
      </left>
      <right style="thin">
        <color rgb="FF1F4E79"/>
      </right>
      <top style="thin">
        <color rgb="FF1F4E79"/>
      </top>
      <bottom style="thin">
        <color rgb="FF1F4E79"/>
      </bottom>
      <diagonal/>
    </border>
    <border>
      <left style="thin">
        <color rgb="FF1F4E79"/>
      </left>
      <right/>
      <top/>
      <bottom/>
      <diagonal/>
    </border>
  </borders>
  <cellStyleXfs count="1">
    <xf numFmtId="0" fontId="0" fillId="0" borderId="0"/>
  </cellStyleXfs>
  <cellXfs count="36">
    <xf numFmtId="0" fontId="0" fillId="0" borderId="0" xfId="0"/>
    <xf numFmtId="0" fontId="6" fillId="2" borderId="4" xfId="0" applyFont="1" applyFill="1" applyBorder="1" applyAlignment="1">
      <alignment horizontal="left" vertical="center" indent="1"/>
    </xf>
    <xf numFmtId="0" fontId="5" fillId="4" borderId="3" xfId="0" applyFont="1" applyFill="1" applyBorder="1" applyAlignment="1">
      <alignment horizontal="left" vertical="center" indent="1"/>
    </xf>
    <xf numFmtId="0" fontId="5" fillId="5" borderId="3" xfId="0" applyFont="1" applyFill="1" applyBorder="1" applyAlignment="1">
      <alignment horizontal="left" vertical="center" indent="1"/>
    </xf>
    <xf numFmtId="0" fontId="5" fillId="5" borderId="3" xfId="0" applyFont="1" applyFill="1" applyBorder="1" applyAlignment="1">
      <alignment horizontal="left" vertical="center" wrapText="1" indent="1"/>
    </xf>
    <xf numFmtId="0" fontId="5" fillId="4" borderId="3" xfId="0" applyFont="1" applyFill="1" applyBorder="1" applyAlignment="1">
      <alignment horizontal="left" vertical="center" wrapText="1" indent="1"/>
    </xf>
    <xf numFmtId="0" fontId="3" fillId="3" borderId="1" xfId="0" applyFont="1" applyFill="1" applyBorder="1" applyAlignment="1">
      <alignment horizontal="left" vertical="center" inden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4"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7" fillId="6" borderId="2" xfId="0" applyFont="1" applyFill="1" applyBorder="1" applyAlignment="1">
      <alignment horizontal="center" vertical="center" wrapText="1"/>
    </xf>
    <xf numFmtId="0" fontId="5" fillId="5" borderId="2" xfId="0" applyFont="1" applyFill="1" applyBorder="1" applyAlignment="1">
      <alignment horizontal="left" vertical="center" indent="1"/>
    </xf>
    <xf numFmtId="0" fontId="4" fillId="5" borderId="2" xfId="0" applyFont="1" applyFill="1" applyBorder="1" applyAlignment="1">
      <alignment horizontal="center" vertical="center"/>
    </xf>
    <xf numFmtId="0" fontId="8" fillId="7" borderId="2" xfId="0" applyFont="1" applyFill="1" applyBorder="1" applyAlignment="1">
      <alignment horizontal="center" vertical="center"/>
    </xf>
    <xf numFmtId="0" fontId="5" fillId="4" borderId="2" xfId="0" applyFont="1" applyFill="1" applyBorder="1" applyAlignment="1">
      <alignment horizontal="left" vertical="center" indent="1"/>
    </xf>
    <xf numFmtId="0" fontId="9" fillId="7" borderId="2" xfId="0" applyFont="1" applyFill="1" applyBorder="1" applyAlignment="1">
      <alignment horizontal="center" vertical="center"/>
    </xf>
    <xf numFmtId="0" fontId="10" fillId="8" borderId="2" xfId="0" applyFont="1" applyFill="1" applyBorder="1" applyAlignment="1">
      <alignment horizontal="center" vertical="center"/>
    </xf>
    <xf numFmtId="0" fontId="5" fillId="5" borderId="2" xfId="0" applyFont="1" applyFill="1" applyBorder="1" applyAlignment="1">
      <alignment horizontal="left" vertical="center" wrapText="1" indent="1"/>
    </xf>
    <xf numFmtId="0" fontId="5" fillId="4" borderId="2" xfId="0" applyFont="1" applyFill="1" applyBorder="1" applyAlignment="1">
      <alignment horizontal="left" vertical="center" wrapText="1" indent="1"/>
    </xf>
    <xf numFmtId="0" fontId="11" fillId="9" borderId="2" xfId="0" applyFont="1" applyFill="1" applyBorder="1" applyAlignment="1">
      <alignment horizontal="center" vertical="center"/>
    </xf>
    <xf numFmtId="0" fontId="10" fillId="8" borderId="2" xfId="0" applyFont="1" applyFill="1" applyBorder="1" applyAlignment="1">
      <alignment horizontal="left" vertical="center" wrapText="1" indent="1"/>
    </xf>
    <xf numFmtId="0" fontId="9" fillId="7" borderId="2" xfId="0" applyFont="1" applyFill="1" applyBorder="1" applyAlignment="1">
      <alignment horizontal="left" vertical="center" wrapText="1" indent="1"/>
    </xf>
    <xf numFmtId="0" fontId="11" fillId="9" borderId="2" xfId="0" applyFont="1" applyFill="1" applyBorder="1" applyAlignment="1">
      <alignment horizontal="left" vertical="center" wrapText="1" indent="1"/>
    </xf>
    <xf numFmtId="0" fontId="12" fillId="8" borderId="2" xfId="0" applyFont="1" applyFill="1" applyBorder="1" applyAlignment="1">
      <alignment horizontal="left" vertical="center" wrapText="1" indent="1"/>
    </xf>
    <xf numFmtId="9" fontId="5" fillId="5" borderId="2"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9" fontId="5"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0" fontId="3" fillId="2" borderId="5" xfId="0" applyFont="1" applyFill="1" applyBorder="1" applyAlignment="1">
      <alignment horizontal="left" vertical="center" indent="1"/>
    </xf>
    <xf numFmtId="0" fontId="3" fillId="2" borderId="5" xfId="0" applyFont="1" applyFill="1" applyBorder="1" applyAlignment="1">
      <alignment horizontal="center" vertical="center"/>
    </xf>
    <xf numFmtId="2" fontId="3" fillId="2" borderId="6"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13" fillId="4" borderId="3" xfId="0" applyFont="1" applyFill="1" applyBorder="1" applyAlignment="1">
      <alignment horizontal="left" vertical="center" wrapText="1" indent="1"/>
    </xf>
    <xf numFmtId="17" fontId="5" fillId="5" borderId="3" xfId="0" applyNumberFormat="1"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E0E0"/>
      <rgbColor rgb="FF2E75B6"/>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0"/>
  <sheetViews>
    <sheetView showGridLines="0" zoomScaleNormal="100" workbookViewId="0">
      <selection activeCell="C11" sqref="C11:D11"/>
    </sheetView>
  </sheetViews>
  <sheetFormatPr baseColWidth="10" defaultColWidth="8.6640625" defaultRowHeight="15" x14ac:dyDescent="0.2"/>
  <cols>
    <col min="1" max="1" width="3" customWidth="1"/>
    <col min="2" max="2" width="30" customWidth="1"/>
    <col min="3" max="3" width="22" customWidth="1"/>
    <col min="4" max="4" width="66.33203125" customWidth="1"/>
    <col min="5" max="5" width="3" customWidth="1"/>
  </cols>
  <sheetData>
    <row r="1" spans="2:4" ht="9.75" customHeight="1" x14ac:dyDescent="0.2"/>
    <row r="2" spans="2:4" ht="37.5" customHeight="1" x14ac:dyDescent="0.2">
      <c r="B2" s="8" t="s">
        <v>0</v>
      </c>
      <c r="C2" s="8"/>
      <c r="D2" s="8"/>
    </row>
    <row r="3" spans="2:4" ht="19.5" customHeight="1" x14ac:dyDescent="0.2">
      <c r="B3" s="7" t="s">
        <v>1</v>
      </c>
      <c r="C3" s="7"/>
      <c r="D3" s="7"/>
    </row>
    <row r="4" spans="2:4" ht="9.75" customHeight="1" x14ac:dyDescent="0.2"/>
    <row r="5" spans="2:4" ht="19.5" customHeight="1" x14ac:dyDescent="0.2">
      <c r="B5" s="6" t="s">
        <v>2</v>
      </c>
      <c r="C5" s="6"/>
      <c r="D5" s="6"/>
    </row>
    <row r="6" spans="2:4" ht="31" customHeight="1" x14ac:dyDescent="0.2">
      <c r="B6" s="9" t="s">
        <v>3</v>
      </c>
      <c r="C6" s="5" t="s">
        <v>4</v>
      </c>
      <c r="D6" s="5"/>
    </row>
    <row r="7" spans="2:4" ht="35" customHeight="1" x14ac:dyDescent="0.2">
      <c r="B7" s="10" t="s">
        <v>5</v>
      </c>
      <c r="C7" s="4" t="s">
        <v>6</v>
      </c>
      <c r="D7" s="4"/>
    </row>
    <row r="8" spans="2:4" ht="32" customHeight="1" x14ac:dyDescent="0.2">
      <c r="B8" s="9" t="s">
        <v>7</v>
      </c>
      <c r="C8" s="5" t="s">
        <v>8</v>
      </c>
      <c r="D8" s="5"/>
    </row>
    <row r="9" spans="2:4" ht="41" customHeight="1" x14ac:dyDescent="0.2">
      <c r="B9" s="10" t="s">
        <v>9</v>
      </c>
      <c r="C9" s="4" t="s">
        <v>10</v>
      </c>
      <c r="D9" s="4"/>
    </row>
    <row r="10" spans="2:4" ht="21.75" customHeight="1" x14ac:dyDescent="0.2">
      <c r="B10" s="9" t="s">
        <v>11</v>
      </c>
      <c r="C10" s="34" t="s">
        <v>320</v>
      </c>
      <c r="D10" s="5"/>
    </row>
    <row r="11" spans="2:4" ht="21.75" customHeight="1" x14ac:dyDescent="0.2">
      <c r="B11" s="10" t="s">
        <v>12</v>
      </c>
      <c r="C11" s="35">
        <v>46023</v>
      </c>
      <c r="D11" s="4"/>
    </row>
    <row r="13" spans="2:4" ht="9.75" customHeight="1" x14ac:dyDescent="0.2"/>
    <row r="14" spans="2:4" ht="19.5" customHeight="1" x14ac:dyDescent="0.2">
      <c r="B14" s="6" t="s">
        <v>13</v>
      </c>
      <c r="C14" s="6"/>
      <c r="D14" s="6"/>
    </row>
    <row r="15" spans="2:4" ht="19.5" customHeight="1" x14ac:dyDescent="0.2">
      <c r="B15" s="10" t="s">
        <v>14</v>
      </c>
      <c r="C15" s="3" t="s">
        <v>15</v>
      </c>
      <c r="D15" s="3"/>
    </row>
    <row r="16" spans="2:4" ht="19.5" customHeight="1" x14ac:dyDescent="0.2">
      <c r="B16" s="9" t="s">
        <v>16</v>
      </c>
      <c r="C16" s="2" t="s">
        <v>17</v>
      </c>
      <c r="D16" s="2"/>
    </row>
    <row r="17" spans="2:4" ht="19.5" customHeight="1" x14ac:dyDescent="0.2">
      <c r="B17" s="10" t="s">
        <v>18</v>
      </c>
      <c r="C17" s="3" t="s">
        <v>19</v>
      </c>
      <c r="D17" s="3"/>
    </row>
    <row r="18" spans="2:4" ht="19.5" customHeight="1" x14ac:dyDescent="0.2">
      <c r="B18" s="9" t="s">
        <v>20</v>
      </c>
      <c r="C18" s="2" t="s">
        <v>21</v>
      </c>
      <c r="D18" s="2"/>
    </row>
    <row r="19" spans="2:4" ht="19.5" customHeight="1" x14ac:dyDescent="0.2">
      <c r="B19" s="10" t="s">
        <v>22</v>
      </c>
      <c r="C19" s="3" t="s">
        <v>23</v>
      </c>
      <c r="D19" s="3"/>
    </row>
    <row r="20" spans="2:4" ht="19.5" customHeight="1" x14ac:dyDescent="0.2">
      <c r="B20" s="9" t="s">
        <v>24</v>
      </c>
      <c r="C20" s="2" t="s">
        <v>25</v>
      </c>
      <c r="D20" s="2"/>
    </row>
  </sheetData>
  <mergeCells count="16">
    <mergeCell ref="C20:D20"/>
    <mergeCell ref="C15:D15"/>
    <mergeCell ref="C16:D16"/>
    <mergeCell ref="C17:D17"/>
    <mergeCell ref="C18:D18"/>
    <mergeCell ref="C19:D19"/>
    <mergeCell ref="C8:D8"/>
    <mergeCell ref="C9:D9"/>
    <mergeCell ref="C10:D10"/>
    <mergeCell ref="C11:D11"/>
    <mergeCell ref="B14:D14"/>
    <mergeCell ref="B2:D2"/>
    <mergeCell ref="B3:D3"/>
    <mergeCell ref="B5:D5"/>
    <mergeCell ref="C6:D6"/>
    <mergeCell ref="C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15"/>
  <sheetViews>
    <sheetView showGridLines="0" zoomScaleNormal="100" workbookViewId="0"/>
  </sheetViews>
  <sheetFormatPr baseColWidth="10" defaultColWidth="8.6640625" defaultRowHeight="15" x14ac:dyDescent="0.2"/>
  <cols>
    <col min="1" max="1" width="3" customWidth="1"/>
    <col min="2" max="2" width="22" customWidth="1"/>
    <col min="3" max="3" width="16" customWidth="1"/>
    <col min="4" max="4" width="18" customWidth="1"/>
    <col min="5" max="6" width="16" customWidth="1"/>
    <col min="7" max="8" width="14" customWidth="1"/>
    <col min="9" max="9" width="11.83203125" customWidth="1"/>
  </cols>
  <sheetData>
    <row r="1" spans="2:9" ht="25.5" customHeight="1" x14ac:dyDescent="0.2">
      <c r="B1" s="1" t="s">
        <v>26</v>
      </c>
      <c r="C1" s="1"/>
      <c r="D1" s="1"/>
      <c r="E1" s="1"/>
      <c r="F1" s="1"/>
      <c r="G1" s="1"/>
      <c r="H1" s="1"/>
    </row>
    <row r="2" spans="2:9" ht="7.5" customHeight="1" x14ac:dyDescent="0.2"/>
    <row r="3" spans="2:9" ht="19.5" customHeight="1" x14ac:dyDescent="0.2">
      <c r="B3" s="6" t="s">
        <v>27</v>
      </c>
      <c r="C3" s="6"/>
      <c r="D3" s="6"/>
      <c r="E3" s="6"/>
      <c r="F3" s="6"/>
      <c r="G3" s="6"/>
      <c r="H3" s="6"/>
    </row>
    <row r="4" spans="2:9" ht="21.75" customHeight="1" x14ac:dyDescent="0.2">
      <c r="B4" s="11" t="s">
        <v>28</v>
      </c>
      <c r="C4" s="11" t="s">
        <v>29</v>
      </c>
      <c r="D4" s="11" t="s">
        <v>30</v>
      </c>
      <c r="E4" s="11" t="s">
        <v>31</v>
      </c>
      <c r="F4" s="11" t="s">
        <v>32</v>
      </c>
      <c r="G4" s="11" t="s">
        <v>33</v>
      </c>
      <c r="H4" s="11" t="s">
        <v>34</v>
      </c>
      <c r="I4" s="11" t="s">
        <v>35</v>
      </c>
    </row>
    <row r="5" spans="2:9" ht="18" customHeight="1" x14ac:dyDescent="0.2">
      <c r="B5" s="12" t="s">
        <v>36</v>
      </c>
      <c r="C5" s="12" t="s">
        <v>37</v>
      </c>
      <c r="D5" s="12" t="s">
        <v>38</v>
      </c>
      <c r="E5" s="12" t="s">
        <v>39</v>
      </c>
      <c r="F5" s="12" t="s">
        <v>40</v>
      </c>
      <c r="G5" s="13" t="s">
        <v>41</v>
      </c>
      <c r="H5" s="14" t="s">
        <v>42</v>
      </c>
      <c r="I5" s="12" t="s">
        <v>43</v>
      </c>
    </row>
    <row r="6" spans="2:9" ht="18" customHeight="1" x14ac:dyDescent="0.2">
      <c r="B6" s="15" t="s">
        <v>44</v>
      </c>
      <c r="C6" s="15" t="s">
        <v>45</v>
      </c>
      <c r="D6" s="15" t="s">
        <v>46</v>
      </c>
      <c r="E6" s="15" t="s">
        <v>47</v>
      </c>
      <c r="F6" s="15" t="s">
        <v>48</v>
      </c>
      <c r="G6" s="13" t="s">
        <v>41</v>
      </c>
      <c r="H6" s="16" t="s">
        <v>49</v>
      </c>
      <c r="I6" s="16" t="s">
        <v>41</v>
      </c>
    </row>
    <row r="7" spans="2:9" ht="18" customHeight="1" x14ac:dyDescent="0.2">
      <c r="B7" s="12" t="s">
        <v>50</v>
      </c>
      <c r="C7" s="12" t="s">
        <v>51</v>
      </c>
      <c r="D7" s="12" t="s">
        <v>52</v>
      </c>
      <c r="E7" s="12" t="s">
        <v>53</v>
      </c>
      <c r="F7" s="12" t="s">
        <v>54</v>
      </c>
      <c r="G7" s="13" t="s">
        <v>41</v>
      </c>
      <c r="H7" s="14" t="s">
        <v>55</v>
      </c>
      <c r="I7" s="12" t="s">
        <v>43</v>
      </c>
    </row>
    <row r="9" spans="2:9" ht="9.75" customHeight="1" x14ac:dyDescent="0.2"/>
    <row r="10" spans="2:9" ht="19.5" customHeight="1" x14ac:dyDescent="0.2">
      <c r="B10" s="6" t="s">
        <v>56</v>
      </c>
      <c r="C10" s="6"/>
      <c r="D10" s="6"/>
      <c r="E10" s="6"/>
      <c r="F10" s="6"/>
      <c r="G10" s="6"/>
      <c r="H10" s="6"/>
    </row>
    <row r="11" spans="2:9" ht="19.5" customHeight="1" x14ac:dyDescent="0.2">
      <c r="B11" s="10" t="s">
        <v>57</v>
      </c>
      <c r="C11" s="3" t="s">
        <v>58</v>
      </c>
      <c r="D11" s="3"/>
      <c r="E11" s="3"/>
      <c r="F11" s="3"/>
      <c r="G11" s="3"/>
      <c r="H11" s="3"/>
    </row>
    <row r="12" spans="2:9" ht="19.5" customHeight="1" x14ac:dyDescent="0.2">
      <c r="B12" s="9" t="s">
        <v>59</v>
      </c>
      <c r="C12" s="2" t="s">
        <v>60</v>
      </c>
      <c r="D12" s="2"/>
      <c r="E12" s="2"/>
      <c r="F12" s="2"/>
      <c r="G12" s="2"/>
      <c r="H12" s="2"/>
    </row>
    <row r="13" spans="2:9" ht="19.5" customHeight="1" x14ac:dyDescent="0.2">
      <c r="B13" s="10" t="s">
        <v>61</v>
      </c>
      <c r="C13" s="3" t="s">
        <v>62</v>
      </c>
      <c r="D13" s="3"/>
      <c r="E13" s="3"/>
      <c r="F13" s="3"/>
      <c r="G13" s="3"/>
      <c r="H13" s="3"/>
    </row>
    <row r="14" spans="2:9" ht="19.5" customHeight="1" x14ac:dyDescent="0.2">
      <c r="B14" s="9" t="s">
        <v>63</v>
      </c>
      <c r="C14" s="2" t="s">
        <v>64</v>
      </c>
      <c r="D14" s="2"/>
      <c r="E14" s="2"/>
      <c r="F14" s="2"/>
      <c r="G14" s="2"/>
      <c r="H14" s="2"/>
    </row>
    <row r="15" spans="2:9" ht="19.5" customHeight="1" x14ac:dyDescent="0.2">
      <c r="B15" s="10" t="s">
        <v>65</v>
      </c>
      <c r="C15" s="3" t="s">
        <v>66</v>
      </c>
      <c r="D15" s="3"/>
      <c r="E15" s="3"/>
      <c r="F15" s="3"/>
      <c r="G15" s="3"/>
      <c r="H15" s="3"/>
    </row>
  </sheetData>
  <mergeCells count="8">
    <mergeCell ref="C13:H13"/>
    <mergeCell ref="C14:H14"/>
    <mergeCell ref="C15:H15"/>
    <mergeCell ref="B1:H1"/>
    <mergeCell ref="B3:H3"/>
    <mergeCell ref="B10:H10"/>
    <mergeCell ref="C11:H11"/>
    <mergeCell ref="C12:H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23"/>
  <sheetViews>
    <sheetView showGridLines="0" zoomScaleNormal="100" workbookViewId="0">
      <selection activeCell="F5" sqref="F5"/>
    </sheetView>
  </sheetViews>
  <sheetFormatPr baseColWidth="10" defaultColWidth="8.6640625" defaultRowHeight="15" x14ac:dyDescent="0.2"/>
  <cols>
    <col min="1" max="1" width="3" customWidth="1"/>
    <col min="2" max="2" width="10" customWidth="1"/>
    <col min="3" max="3" width="12" customWidth="1"/>
    <col min="4" max="6" width="14" customWidth="1"/>
    <col min="7" max="7" width="16" customWidth="1"/>
    <col min="8" max="8" width="34.1640625" bestFit="1" customWidth="1"/>
    <col min="9" max="9" width="14" customWidth="1"/>
    <col min="10" max="10" width="23.83203125" bestFit="1" customWidth="1"/>
    <col min="11" max="11" width="57.33203125" bestFit="1" customWidth="1"/>
  </cols>
  <sheetData>
    <row r="1" spans="2:11" ht="25.5" customHeight="1" x14ac:dyDescent="0.2">
      <c r="B1" s="1" t="s">
        <v>67</v>
      </c>
      <c r="C1" s="1"/>
      <c r="D1" s="1"/>
      <c r="E1" s="1"/>
      <c r="F1" s="1"/>
      <c r="G1" s="1"/>
      <c r="H1" s="1"/>
      <c r="I1" s="1"/>
      <c r="J1" s="1"/>
    </row>
    <row r="2" spans="2:11" ht="7.5" customHeight="1" x14ac:dyDescent="0.2"/>
    <row r="3" spans="2:11" ht="19.5" customHeight="1" x14ac:dyDescent="0.2">
      <c r="B3" s="6" t="s">
        <v>68</v>
      </c>
      <c r="C3" s="6"/>
      <c r="D3" s="6"/>
      <c r="E3" s="6"/>
      <c r="F3" s="6"/>
      <c r="G3" s="6"/>
      <c r="H3" s="6"/>
      <c r="I3" s="6"/>
      <c r="J3" s="6"/>
    </row>
    <row r="4" spans="2:11" ht="21.75" customHeight="1" x14ac:dyDescent="0.2">
      <c r="B4" s="11" t="s">
        <v>69</v>
      </c>
      <c r="C4" s="11" t="s">
        <v>12</v>
      </c>
      <c r="D4" s="11" t="s">
        <v>28</v>
      </c>
      <c r="E4" s="11" t="s">
        <v>70</v>
      </c>
      <c r="F4" s="11" t="s">
        <v>71</v>
      </c>
      <c r="G4" s="11" t="s">
        <v>72</v>
      </c>
      <c r="H4" s="11" t="s">
        <v>73</v>
      </c>
      <c r="I4" s="11" t="s">
        <v>74</v>
      </c>
      <c r="J4" s="11" t="s">
        <v>75</v>
      </c>
      <c r="K4" s="11" t="s">
        <v>76</v>
      </c>
    </row>
    <row r="5" spans="2:11" ht="18" customHeight="1" x14ac:dyDescent="0.2">
      <c r="B5" s="12" t="s">
        <v>77</v>
      </c>
      <c r="C5" s="12" t="s">
        <v>78</v>
      </c>
      <c r="D5" s="12" t="s">
        <v>36</v>
      </c>
      <c r="E5" s="12" t="s">
        <v>79</v>
      </c>
      <c r="F5" s="12" t="s">
        <v>80</v>
      </c>
      <c r="G5" s="12" t="s">
        <v>81</v>
      </c>
      <c r="H5" s="12" t="s">
        <v>82</v>
      </c>
      <c r="I5" s="17" t="s">
        <v>83</v>
      </c>
      <c r="J5" s="17" t="s">
        <v>84</v>
      </c>
      <c r="K5" s="18" t="s">
        <v>85</v>
      </c>
    </row>
    <row r="6" spans="2:11" ht="18" customHeight="1" x14ac:dyDescent="0.2">
      <c r="B6" s="15" t="s">
        <v>86</v>
      </c>
      <c r="C6" s="15" t="s">
        <v>87</v>
      </c>
      <c r="D6" s="15" t="s">
        <v>36</v>
      </c>
      <c r="E6" s="15" t="s">
        <v>79</v>
      </c>
      <c r="F6" s="15" t="s">
        <v>88</v>
      </c>
      <c r="G6" s="15" t="s">
        <v>81</v>
      </c>
      <c r="H6" s="15" t="s">
        <v>89</v>
      </c>
      <c r="I6" s="17" t="s">
        <v>90</v>
      </c>
      <c r="J6" s="17" t="s">
        <v>84</v>
      </c>
      <c r="K6" s="19" t="s">
        <v>91</v>
      </c>
    </row>
    <row r="7" spans="2:11" ht="18" customHeight="1" x14ac:dyDescent="0.2">
      <c r="B7" s="12" t="s">
        <v>92</v>
      </c>
      <c r="C7" s="12" t="s">
        <v>93</v>
      </c>
      <c r="D7" s="12" t="s">
        <v>50</v>
      </c>
      <c r="E7" s="12" t="s">
        <v>94</v>
      </c>
      <c r="F7" s="12" t="s">
        <v>95</v>
      </c>
      <c r="G7" s="12" t="s">
        <v>96</v>
      </c>
      <c r="H7" s="12" t="s">
        <v>97</v>
      </c>
      <c r="I7" s="17" t="s">
        <v>98</v>
      </c>
      <c r="J7" s="17" t="s">
        <v>84</v>
      </c>
      <c r="K7" s="18" t="s">
        <v>99</v>
      </c>
    </row>
    <row r="8" spans="2:11" ht="18" customHeight="1" x14ac:dyDescent="0.2">
      <c r="B8" s="15" t="s">
        <v>100</v>
      </c>
      <c r="C8" s="15" t="s">
        <v>101</v>
      </c>
      <c r="D8" s="15" t="s">
        <v>44</v>
      </c>
      <c r="E8" s="15" t="s">
        <v>94</v>
      </c>
      <c r="F8" s="15" t="s">
        <v>102</v>
      </c>
      <c r="G8" s="15" t="s">
        <v>103</v>
      </c>
      <c r="H8" s="15" t="s">
        <v>104</v>
      </c>
      <c r="I8" s="20" t="s">
        <v>105</v>
      </c>
      <c r="J8" s="20" t="s">
        <v>106</v>
      </c>
      <c r="K8" s="19" t="s">
        <v>107</v>
      </c>
    </row>
    <row r="9" spans="2:11" ht="18" customHeight="1" x14ac:dyDescent="0.2">
      <c r="B9" s="12" t="s">
        <v>108</v>
      </c>
      <c r="C9" s="12" t="s">
        <v>109</v>
      </c>
      <c r="D9" s="12" t="s">
        <v>44</v>
      </c>
      <c r="E9" s="12" t="s">
        <v>94</v>
      </c>
      <c r="F9" s="12" t="s">
        <v>110</v>
      </c>
      <c r="G9" s="12" t="s">
        <v>103</v>
      </c>
      <c r="H9" s="12" t="s">
        <v>111</v>
      </c>
      <c r="I9" s="20" t="s">
        <v>112</v>
      </c>
      <c r="J9" s="17" t="s">
        <v>84</v>
      </c>
      <c r="K9" s="18" t="s">
        <v>113</v>
      </c>
    </row>
    <row r="10" spans="2:11" ht="18" customHeight="1" x14ac:dyDescent="0.2">
      <c r="B10" s="15" t="s">
        <v>114</v>
      </c>
      <c r="C10" s="15" t="s">
        <v>115</v>
      </c>
      <c r="D10" s="15" t="s">
        <v>50</v>
      </c>
      <c r="E10" s="15" t="s">
        <v>79</v>
      </c>
      <c r="F10" s="15" t="s">
        <v>116</v>
      </c>
      <c r="G10" s="15" t="s">
        <v>117</v>
      </c>
      <c r="H10" s="15" t="s">
        <v>118</v>
      </c>
      <c r="I10" s="17" t="s">
        <v>119</v>
      </c>
      <c r="J10" s="17" t="s">
        <v>84</v>
      </c>
      <c r="K10" s="19" t="s">
        <v>120</v>
      </c>
    </row>
    <row r="11" spans="2:11" ht="18" customHeight="1" x14ac:dyDescent="0.2">
      <c r="B11" s="12" t="s">
        <v>121</v>
      </c>
      <c r="C11" s="12" t="s">
        <v>122</v>
      </c>
      <c r="D11" s="12" t="s">
        <v>36</v>
      </c>
      <c r="E11" s="12" t="s">
        <v>123</v>
      </c>
      <c r="F11" s="12" t="s">
        <v>124</v>
      </c>
      <c r="G11" s="12" t="s">
        <v>125</v>
      </c>
      <c r="H11" s="12" t="s">
        <v>126</v>
      </c>
      <c r="I11" s="20" t="s">
        <v>127</v>
      </c>
      <c r="J11" s="17" t="s">
        <v>84</v>
      </c>
      <c r="K11" s="18" t="s">
        <v>128</v>
      </c>
    </row>
    <row r="12" spans="2:11" ht="18" customHeight="1" x14ac:dyDescent="0.2">
      <c r="B12" s="15" t="s">
        <v>129</v>
      </c>
      <c r="C12" s="15" t="s">
        <v>130</v>
      </c>
      <c r="D12" s="15" t="s">
        <v>44</v>
      </c>
      <c r="E12" s="15" t="s">
        <v>79</v>
      </c>
      <c r="F12" s="15" t="s">
        <v>131</v>
      </c>
      <c r="G12" s="15" t="s">
        <v>132</v>
      </c>
      <c r="H12" s="15" t="s">
        <v>133</v>
      </c>
      <c r="I12" s="20" t="s">
        <v>134</v>
      </c>
      <c r="J12" s="20" t="s">
        <v>135</v>
      </c>
      <c r="K12" s="19" t="s">
        <v>136</v>
      </c>
    </row>
    <row r="13" spans="2:11" ht="18" customHeight="1" x14ac:dyDescent="0.2">
      <c r="B13" s="12" t="s">
        <v>137</v>
      </c>
      <c r="C13" s="12" t="s">
        <v>138</v>
      </c>
      <c r="D13" s="12" t="s">
        <v>50</v>
      </c>
      <c r="E13" s="12" t="s">
        <v>94</v>
      </c>
      <c r="F13" s="12" t="s">
        <v>139</v>
      </c>
      <c r="G13" s="12" t="s">
        <v>140</v>
      </c>
      <c r="H13" s="12" t="s">
        <v>141</v>
      </c>
      <c r="I13" s="17" t="s">
        <v>142</v>
      </c>
      <c r="J13" s="17" t="s">
        <v>84</v>
      </c>
      <c r="K13" s="18" t="s">
        <v>143</v>
      </c>
    </row>
    <row r="14" spans="2:11" ht="18" customHeight="1" x14ac:dyDescent="0.2">
      <c r="B14" s="15" t="s">
        <v>144</v>
      </c>
      <c r="C14" s="15" t="s">
        <v>145</v>
      </c>
      <c r="D14" s="15" t="s">
        <v>36</v>
      </c>
      <c r="E14" s="15" t="s">
        <v>79</v>
      </c>
      <c r="F14" s="15" t="s">
        <v>146</v>
      </c>
      <c r="G14" s="15" t="s">
        <v>147</v>
      </c>
      <c r="H14" s="15" t="s">
        <v>148</v>
      </c>
      <c r="I14" s="17" t="s">
        <v>149</v>
      </c>
      <c r="J14" s="17" t="s">
        <v>150</v>
      </c>
      <c r="K14" s="19" t="s">
        <v>151</v>
      </c>
    </row>
    <row r="15" spans="2:11" ht="18" customHeight="1" x14ac:dyDescent="0.2">
      <c r="B15" s="12" t="s">
        <v>152</v>
      </c>
      <c r="C15" s="12" t="s">
        <v>153</v>
      </c>
      <c r="D15" s="12" t="s">
        <v>44</v>
      </c>
      <c r="E15" s="12" t="s">
        <v>94</v>
      </c>
      <c r="F15" s="12" t="s">
        <v>154</v>
      </c>
      <c r="G15" s="12" t="s">
        <v>103</v>
      </c>
      <c r="H15" s="12" t="s">
        <v>155</v>
      </c>
      <c r="I15" s="17" t="s">
        <v>156</v>
      </c>
      <c r="J15" s="17" t="s">
        <v>84</v>
      </c>
      <c r="K15" s="18" t="s">
        <v>157</v>
      </c>
    </row>
    <row r="16" spans="2:11" ht="18" customHeight="1" x14ac:dyDescent="0.2">
      <c r="B16" s="15" t="s">
        <v>158</v>
      </c>
      <c r="C16" s="15" t="s">
        <v>159</v>
      </c>
      <c r="D16" s="15" t="s">
        <v>50</v>
      </c>
      <c r="E16" s="15" t="s">
        <v>79</v>
      </c>
      <c r="F16" s="15" t="s">
        <v>160</v>
      </c>
      <c r="G16" s="15" t="s">
        <v>161</v>
      </c>
      <c r="H16" s="15" t="s">
        <v>162</v>
      </c>
      <c r="I16" s="17" t="s">
        <v>163</v>
      </c>
      <c r="J16" s="17" t="s">
        <v>84</v>
      </c>
      <c r="K16" s="19" t="s">
        <v>164</v>
      </c>
    </row>
    <row r="17" spans="2:11" ht="18" customHeight="1" x14ac:dyDescent="0.2">
      <c r="B17" s="12" t="s">
        <v>165</v>
      </c>
      <c r="C17" s="12" t="s">
        <v>166</v>
      </c>
      <c r="D17" s="12" t="s">
        <v>36</v>
      </c>
      <c r="E17" s="12" t="s">
        <v>167</v>
      </c>
      <c r="F17" s="12" t="s">
        <v>168</v>
      </c>
      <c r="G17" s="12" t="s">
        <v>125</v>
      </c>
      <c r="H17" s="12" t="s">
        <v>169</v>
      </c>
      <c r="I17" s="20" t="s">
        <v>170</v>
      </c>
      <c r="J17" s="20" t="s">
        <v>135</v>
      </c>
      <c r="K17" s="18" t="s">
        <v>171</v>
      </c>
    </row>
    <row r="18" spans="2:11" ht="18" customHeight="1" x14ac:dyDescent="0.2">
      <c r="B18" s="15" t="s">
        <v>172</v>
      </c>
      <c r="C18" s="15" t="s">
        <v>173</v>
      </c>
      <c r="D18" s="15" t="s">
        <v>44</v>
      </c>
      <c r="E18" s="15" t="s">
        <v>174</v>
      </c>
      <c r="F18" s="15" t="s">
        <v>175</v>
      </c>
      <c r="G18" s="15" t="s">
        <v>176</v>
      </c>
      <c r="H18" s="15" t="s">
        <v>177</v>
      </c>
      <c r="I18" s="20" t="s">
        <v>178</v>
      </c>
      <c r="J18" s="20" t="s">
        <v>135</v>
      </c>
      <c r="K18" s="19" t="s">
        <v>179</v>
      </c>
    </row>
    <row r="19" spans="2:11" ht="18" customHeight="1" x14ac:dyDescent="0.2">
      <c r="B19" s="12" t="s">
        <v>180</v>
      </c>
      <c r="C19" s="12" t="s">
        <v>181</v>
      </c>
      <c r="D19" s="12" t="s">
        <v>50</v>
      </c>
      <c r="E19" s="12" t="s">
        <v>94</v>
      </c>
      <c r="F19" s="12" t="s">
        <v>182</v>
      </c>
      <c r="G19" s="12" t="s">
        <v>96</v>
      </c>
      <c r="H19" s="12" t="s">
        <v>183</v>
      </c>
      <c r="I19" s="17" t="s">
        <v>184</v>
      </c>
      <c r="J19" s="17" t="s">
        <v>84</v>
      </c>
      <c r="K19" s="18" t="s">
        <v>185</v>
      </c>
    </row>
    <row r="20" spans="2:11" ht="19.5" customHeight="1" x14ac:dyDescent="0.2"/>
    <row r="21" spans="2:11" ht="19.5" customHeight="1" x14ac:dyDescent="0.2"/>
    <row r="22" spans="2:11" ht="19.5" customHeight="1" x14ac:dyDescent="0.2"/>
    <row r="23" spans="2:11" ht="19.5" customHeight="1" x14ac:dyDescent="0.2"/>
  </sheetData>
  <mergeCells count="2">
    <mergeCell ref="B1:J1"/>
    <mergeCell ref="B3:J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4"/>
  <sheetViews>
    <sheetView showGridLines="0" zoomScale="75" zoomScaleNormal="100" workbookViewId="0">
      <selection activeCell="F13" sqref="F13"/>
    </sheetView>
  </sheetViews>
  <sheetFormatPr baseColWidth="10" defaultColWidth="8.6640625" defaultRowHeight="15" x14ac:dyDescent="0.2"/>
  <cols>
    <col min="1" max="1" width="3" customWidth="1"/>
    <col min="2" max="2" width="8.5" bestFit="1" customWidth="1"/>
    <col min="3" max="3" width="7.33203125" bestFit="1" customWidth="1"/>
    <col min="4" max="4" width="11.1640625" bestFit="1" customWidth="1"/>
    <col min="5" max="5" width="40.83203125" bestFit="1" customWidth="1"/>
    <col min="6" max="6" width="41.1640625" bestFit="1" customWidth="1"/>
    <col min="7" max="7" width="194.1640625" bestFit="1" customWidth="1"/>
    <col min="8" max="8" width="114.1640625" bestFit="1" customWidth="1"/>
    <col min="9" max="9" width="26.33203125" bestFit="1" customWidth="1"/>
    <col min="10" max="10" width="46" bestFit="1" customWidth="1"/>
  </cols>
  <sheetData>
    <row r="1" spans="2:10" ht="25.5" customHeight="1" x14ac:dyDescent="0.2">
      <c r="B1" s="1" t="s">
        <v>186</v>
      </c>
      <c r="C1" s="1"/>
      <c r="D1" s="1"/>
      <c r="E1" s="1"/>
      <c r="F1" s="1"/>
      <c r="G1" s="1"/>
      <c r="H1" s="1"/>
      <c r="I1" s="1"/>
    </row>
    <row r="2" spans="2:10" ht="7.5" customHeight="1" x14ac:dyDescent="0.2"/>
    <row r="3" spans="2:10" ht="19.5" customHeight="1" x14ac:dyDescent="0.2">
      <c r="B3" s="6" t="s">
        <v>187</v>
      </c>
      <c r="C3" s="6"/>
      <c r="D3" s="6"/>
      <c r="E3" s="6"/>
      <c r="F3" s="6"/>
      <c r="G3" s="6"/>
      <c r="H3" s="6"/>
      <c r="I3" s="6"/>
    </row>
    <row r="4" spans="2:10" ht="21.75" customHeight="1" x14ac:dyDescent="0.2">
      <c r="B4" s="11" t="s">
        <v>188</v>
      </c>
      <c r="C4" s="11" t="s">
        <v>28</v>
      </c>
      <c r="D4" s="11" t="s">
        <v>189</v>
      </c>
      <c r="E4" s="11" t="s">
        <v>190</v>
      </c>
      <c r="F4" s="11" t="s">
        <v>191</v>
      </c>
      <c r="G4" s="11" t="s">
        <v>192</v>
      </c>
      <c r="H4" s="11" t="s">
        <v>193</v>
      </c>
      <c r="I4" s="11" t="s">
        <v>194</v>
      </c>
      <c r="J4" s="11" t="s">
        <v>195</v>
      </c>
    </row>
    <row r="5" spans="2:10" ht="18" customHeight="1" x14ac:dyDescent="0.2">
      <c r="B5" s="18" t="s">
        <v>196</v>
      </c>
      <c r="C5" s="18" t="s">
        <v>36</v>
      </c>
      <c r="D5" s="18" t="s">
        <v>197</v>
      </c>
      <c r="E5" s="18" t="s">
        <v>198</v>
      </c>
      <c r="F5" s="18" t="s">
        <v>199</v>
      </c>
      <c r="G5" s="18" t="s">
        <v>200</v>
      </c>
      <c r="H5" s="16" t="s">
        <v>201</v>
      </c>
      <c r="I5" s="18" t="s">
        <v>202</v>
      </c>
      <c r="J5" s="21" t="s">
        <v>203</v>
      </c>
    </row>
    <row r="6" spans="2:10" ht="18" customHeight="1" x14ac:dyDescent="0.2">
      <c r="B6" s="19" t="s">
        <v>204</v>
      </c>
      <c r="C6" s="19" t="s">
        <v>44</v>
      </c>
      <c r="D6" s="19" t="s">
        <v>205</v>
      </c>
      <c r="E6" s="19" t="s">
        <v>206</v>
      </c>
      <c r="F6" s="19" t="s">
        <v>207</v>
      </c>
      <c r="G6" s="19" t="s">
        <v>208</v>
      </c>
      <c r="H6" s="16" t="s">
        <v>209</v>
      </c>
      <c r="I6" s="19" t="s">
        <v>210</v>
      </c>
      <c r="J6" s="21" t="s">
        <v>203</v>
      </c>
    </row>
    <row r="7" spans="2:10" ht="18" customHeight="1" x14ac:dyDescent="0.2">
      <c r="B7" s="18" t="s">
        <v>211</v>
      </c>
      <c r="C7" s="18" t="s">
        <v>50</v>
      </c>
      <c r="D7" s="18" t="s">
        <v>212</v>
      </c>
      <c r="E7" s="18" t="s">
        <v>213</v>
      </c>
      <c r="F7" s="18" t="s">
        <v>214</v>
      </c>
      <c r="G7" s="18" t="s">
        <v>215</v>
      </c>
      <c r="H7" s="16" t="s">
        <v>216</v>
      </c>
      <c r="I7" s="18" t="s">
        <v>217</v>
      </c>
      <c r="J7" s="21" t="s">
        <v>218</v>
      </c>
    </row>
    <row r="8" spans="2:10" ht="18" customHeight="1" x14ac:dyDescent="0.2">
      <c r="B8" s="19" t="s">
        <v>219</v>
      </c>
      <c r="C8" s="19" t="s">
        <v>36</v>
      </c>
      <c r="D8" s="19" t="s">
        <v>220</v>
      </c>
      <c r="E8" s="19" t="s">
        <v>148</v>
      </c>
      <c r="F8" s="19" t="s">
        <v>144</v>
      </c>
      <c r="G8" s="19" t="s">
        <v>221</v>
      </c>
      <c r="H8" s="16" t="s">
        <v>222</v>
      </c>
      <c r="I8" s="19" t="s">
        <v>41</v>
      </c>
      <c r="J8" s="22" t="s">
        <v>223</v>
      </c>
    </row>
    <row r="9" spans="2:10" ht="18" customHeight="1" x14ac:dyDescent="0.2">
      <c r="B9" s="18" t="s">
        <v>224</v>
      </c>
      <c r="C9" s="18" t="s">
        <v>44</v>
      </c>
      <c r="D9" s="18" t="s">
        <v>225</v>
      </c>
      <c r="E9" s="18" t="s">
        <v>226</v>
      </c>
      <c r="F9" s="18" t="s">
        <v>227</v>
      </c>
      <c r="G9" s="18" t="s">
        <v>228</v>
      </c>
      <c r="H9" s="16" t="s">
        <v>229</v>
      </c>
      <c r="I9" s="18" t="s">
        <v>230</v>
      </c>
      <c r="J9" s="23" t="s">
        <v>231</v>
      </c>
    </row>
    <row r="10" spans="2:10" ht="18" customHeight="1" x14ac:dyDescent="0.2">
      <c r="B10" s="19" t="s">
        <v>232</v>
      </c>
      <c r="C10" s="19" t="s">
        <v>50</v>
      </c>
      <c r="D10" s="19" t="s">
        <v>233</v>
      </c>
      <c r="E10" s="19" t="s">
        <v>234</v>
      </c>
      <c r="F10" s="19" t="s">
        <v>137</v>
      </c>
      <c r="G10" s="19" t="s">
        <v>235</v>
      </c>
      <c r="H10" s="16" t="s">
        <v>236</v>
      </c>
      <c r="I10" s="19" t="s">
        <v>237</v>
      </c>
      <c r="J10" s="21" t="s">
        <v>238</v>
      </c>
    </row>
    <row r="11" spans="2:10" ht="54.75" customHeight="1" x14ac:dyDescent="0.2"/>
    <row r="12" spans="2:10" ht="54.75" customHeight="1" x14ac:dyDescent="0.2"/>
    <row r="13" spans="2:10" ht="54.75" customHeight="1" x14ac:dyDescent="0.2"/>
    <row r="14" spans="2:10" ht="54.75" customHeight="1" x14ac:dyDescent="0.2"/>
  </sheetData>
  <mergeCells count="2">
    <mergeCell ref="B1:I1"/>
    <mergeCell ref="B3:I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44"/>
  <sheetViews>
    <sheetView showGridLines="0" topLeftCell="B29" zoomScaleNormal="100" workbookViewId="0">
      <selection activeCell="C13" sqref="C13"/>
    </sheetView>
  </sheetViews>
  <sheetFormatPr baseColWidth="10" defaultColWidth="8.6640625" defaultRowHeight="15" x14ac:dyDescent="0.2"/>
  <cols>
    <col min="1" max="1" width="3" customWidth="1"/>
    <col min="2" max="2" width="20.83203125" bestFit="1" customWidth="1"/>
    <col min="3" max="3" width="208.83203125" bestFit="1" customWidth="1"/>
    <col min="4" max="4" width="3" customWidth="1"/>
  </cols>
  <sheetData>
    <row r="1" spans="2:3" ht="25.5" customHeight="1" x14ac:dyDescent="0.2">
      <c r="B1" s="1" t="s">
        <v>239</v>
      </c>
      <c r="C1" s="1"/>
    </row>
    <row r="2" spans="2:3" ht="7.5" customHeight="1" x14ac:dyDescent="0.2"/>
    <row r="3" spans="2:3" ht="7.5" customHeight="1" x14ac:dyDescent="0.2"/>
    <row r="4" spans="2:3" ht="19.5" customHeight="1" x14ac:dyDescent="0.2">
      <c r="B4" s="6" t="s">
        <v>240</v>
      </c>
      <c r="C4" s="6"/>
    </row>
    <row r="5" spans="2:3" ht="18" customHeight="1" x14ac:dyDescent="0.2">
      <c r="B5" s="10" t="s">
        <v>241</v>
      </c>
      <c r="C5" s="18" t="s">
        <v>242</v>
      </c>
    </row>
    <row r="6" spans="2:3" ht="18" customHeight="1" x14ac:dyDescent="0.2">
      <c r="B6" s="9" t="s">
        <v>243</v>
      </c>
      <c r="C6" s="19" t="s">
        <v>244</v>
      </c>
    </row>
    <row r="7" spans="2:3" ht="18" customHeight="1" x14ac:dyDescent="0.2">
      <c r="B7" s="10" t="s">
        <v>29</v>
      </c>
      <c r="C7" s="18" t="s">
        <v>37</v>
      </c>
    </row>
    <row r="8" spans="2:3" ht="18" customHeight="1" x14ac:dyDescent="0.2">
      <c r="B8" s="9" t="s">
        <v>28</v>
      </c>
      <c r="C8" s="19" t="s">
        <v>36</v>
      </c>
    </row>
    <row r="9" spans="2:3" ht="18" customHeight="1" x14ac:dyDescent="0.2">
      <c r="B9" s="10" t="s">
        <v>245</v>
      </c>
      <c r="C9" s="18" t="s">
        <v>246</v>
      </c>
    </row>
    <row r="10" spans="2:3" ht="18" customHeight="1" x14ac:dyDescent="0.2">
      <c r="B10" s="9" t="s">
        <v>247</v>
      </c>
      <c r="C10" s="19" t="s">
        <v>199</v>
      </c>
    </row>
    <row r="11" spans="2:3" ht="18" customHeight="1" x14ac:dyDescent="0.2">
      <c r="B11" s="10" t="s">
        <v>248</v>
      </c>
      <c r="C11" s="18" t="s">
        <v>249</v>
      </c>
    </row>
    <row r="12" spans="2:3" ht="18" customHeight="1" x14ac:dyDescent="0.2">
      <c r="B12" s="9" t="s">
        <v>250</v>
      </c>
      <c r="C12" s="19" t="s">
        <v>251</v>
      </c>
    </row>
    <row r="13" spans="2:3" ht="18" customHeight="1" x14ac:dyDescent="0.2">
      <c r="B13" s="10" t="s">
        <v>190</v>
      </c>
      <c r="C13" s="18" t="s">
        <v>252</v>
      </c>
    </row>
    <row r="14" spans="2:3" ht="51.75" customHeight="1" x14ac:dyDescent="0.2">
      <c r="B14" s="9" t="s">
        <v>253</v>
      </c>
      <c r="C14" s="24" t="s">
        <v>254</v>
      </c>
    </row>
    <row r="15" spans="2:3" ht="51.75" customHeight="1" x14ac:dyDescent="0.2">
      <c r="B15" s="10" t="s">
        <v>255</v>
      </c>
      <c r="C15" s="18" t="s">
        <v>256</v>
      </c>
    </row>
    <row r="16" spans="2:3" ht="51.75" customHeight="1" x14ac:dyDescent="0.2">
      <c r="B16" s="9" t="s">
        <v>257</v>
      </c>
      <c r="C16" s="19" t="s">
        <v>258</v>
      </c>
    </row>
    <row r="17" spans="2:3" ht="7.5" customHeight="1" x14ac:dyDescent="0.2"/>
    <row r="18" spans="2:3" ht="19.5" customHeight="1" x14ac:dyDescent="0.2">
      <c r="B18" s="6" t="s">
        <v>259</v>
      </c>
      <c r="C18" s="6"/>
    </row>
    <row r="19" spans="2:3" ht="18" customHeight="1" x14ac:dyDescent="0.2">
      <c r="B19" s="10" t="s">
        <v>241</v>
      </c>
      <c r="C19" s="18" t="s">
        <v>242</v>
      </c>
    </row>
    <row r="20" spans="2:3" ht="18" customHeight="1" x14ac:dyDescent="0.2">
      <c r="B20" s="9" t="s">
        <v>243</v>
      </c>
      <c r="C20" s="19" t="s">
        <v>260</v>
      </c>
    </row>
    <row r="21" spans="2:3" ht="18" customHeight="1" x14ac:dyDescent="0.2">
      <c r="B21" s="10" t="s">
        <v>29</v>
      </c>
      <c r="C21" s="18" t="s">
        <v>45</v>
      </c>
    </row>
    <row r="22" spans="2:3" ht="18" customHeight="1" x14ac:dyDescent="0.2">
      <c r="B22" s="9" t="s">
        <v>28</v>
      </c>
      <c r="C22" s="19" t="s">
        <v>44</v>
      </c>
    </row>
    <row r="23" spans="2:3" ht="18" customHeight="1" x14ac:dyDescent="0.2">
      <c r="B23" s="10" t="s">
        <v>245</v>
      </c>
      <c r="C23" s="18" t="s">
        <v>261</v>
      </c>
    </row>
    <row r="24" spans="2:3" ht="18" customHeight="1" x14ac:dyDescent="0.2">
      <c r="B24" s="9" t="s">
        <v>247</v>
      </c>
      <c r="C24" s="19" t="s">
        <v>207</v>
      </c>
    </row>
    <row r="25" spans="2:3" ht="18" customHeight="1" x14ac:dyDescent="0.2">
      <c r="B25" s="10" t="s">
        <v>248</v>
      </c>
      <c r="C25" s="18" t="s">
        <v>262</v>
      </c>
    </row>
    <row r="26" spans="2:3" ht="18" customHeight="1" x14ac:dyDescent="0.2">
      <c r="B26" s="9" t="s">
        <v>250</v>
      </c>
      <c r="C26" s="19" t="s">
        <v>263</v>
      </c>
    </row>
    <row r="27" spans="2:3" ht="18" customHeight="1" x14ac:dyDescent="0.2">
      <c r="B27" s="10" t="s">
        <v>190</v>
      </c>
      <c r="C27" s="18" t="s">
        <v>206</v>
      </c>
    </row>
    <row r="28" spans="2:3" ht="51.75" customHeight="1" x14ac:dyDescent="0.2">
      <c r="B28" s="9" t="s">
        <v>253</v>
      </c>
      <c r="C28" s="24" t="s">
        <v>264</v>
      </c>
    </row>
    <row r="29" spans="2:3" ht="51.75" customHeight="1" x14ac:dyDescent="0.2">
      <c r="B29" s="10" t="s">
        <v>255</v>
      </c>
      <c r="C29" s="18" t="s">
        <v>265</v>
      </c>
    </row>
    <row r="30" spans="2:3" ht="51.75" customHeight="1" x14ac:dyDescent="0.2">
      <c r="B30" s="9" t="s">
        <v>257</v>
      </c>
      <c r="C30" s="19" t="s">
        <v>266</v>
      </c>
    </row>
    <row r="31" spans="2:3" ht="7.5" customHeight="1" x14ac:dyDescent="0.2"/>
    <row r="32" spans="2:3" ht="19.5" customHeight="1" x14ac:dyDescent="0.2">
      <c r="B32" s="6" t="s">
        <v>267</v>
      </c>
      <c r="C32" s="6"/>
    </row>
    <row r="33" spans="2:3" ht="18" customHeight="1" x14ac:dyDescent="0.2">
      <c r="B33" s="10" t="s">
        <v>241</v>
      </c>
      <c r="C33" s="18" t="s">
        <v>242</v>
      </c>
    </row>
    <row r="34" spans="2:3" ht="18" customHeight="1" x14ac:dyDescent="0.2">
      <c r="B34" s="9" t="s">
        <v>243</v>
      </c>
      <c r="C34" s="19" t="s">
        <v>268</v>
      </c>
    </row>
    <row r="35" spans="2:3" ht="18" customHeight="1" x14ac:dyDescent="0.2">
      <c r="B35" s="10" t="s">
        <v>29</v>
      </c>
      <c r="C35" s="18" t="s">
        <v>51</v>
      </c>
    </row>
    <row r="36" spans="2:3" ht="18" customHeight="1" x14ac:dyDescent="0.2">
      <c r="B36" s="9" t="s">
        <v>28</v>
      </c>
      <c r="C36" s="19" t="s">
        <v>50</v>
      </c>
    </row>
    <row r="37" spans="2:3" ht="18" customHeight="1" x14ac:dyDescent="0.2">
      <c r="B37" s="10" t="s">
        <v>245</v>
      </c>
      <c r="C37" s="18" t="s">
        <v>269</v>
      </c>
    </row>
    <row r="38" spans="2:3" ht="18" customHeight="1" x14ac:dyDescent="0.2">
      <c r="B38" s="9" t="s">
        <v>247</v>
      </c>
      <c r="C38" s="19" t="s">
        <v>214</v>
      </c>
    </row>
    <row r="39" spans="2:3" ht="18" customHeight="1" x14ac:dyDescent="0.2">
      <c r="B39" s="10" t="s">
        <v>248</v>
      </c>
      <c r="C39" s="18" t="s">
        <v>270</v>
      </c>
    </row>
    <row r="40" spans="2:3" ht="18" customHeight="1" x14ac:dyDescent="0.2">
      <c r="B40" s="9" t="s">
        <v>250</v>
      </c>
      <c r="C40" s="19" t="s">
        <v>271</v>
      </c>
    </row>
    <row r="41" spans="2:3" ht="18" customHeight="1" x14ac:dyDescent="0.2">
      <c r="B41" s="10" t="s">
        <v>190</v>
      </c>
      <c r="C41" s="18" t="s">
        <v>272</v>
      </c>
    </row>
    <row r="42" spans="2:3" ht="51.75" customHeight="1" x14ac:dyDescent="0.2">
      <c r="B42" s="9" t="s">
        <v>253</v>
      </c>
      <c r="C42" s="24" t="s">
        <v>273</v>
      </c>
    </row>
    <row r="43" spans="2:3" ht="51.75" customHeight="1" x14ac:dyDescent="0.2">
      <c r="B43" s="10" t="s">
        <v>255</v>
      </c>
      <c r="C43" s="18" t="s">
        <v>274</v>
      </c>
    </row>
    <row r="44" spans="2:3" ht="51.75" customHeight="1" x14ac:dyDescent="0.2">
      <c r="B44" s="9" t="s">
        <v>257</v>
      </c>
      <c r="C44" s="19" t="s">
        <v>275</v>
      </c>
    </row>
  </sheetData>
  <mergeCells count="4">
    <mergeCell ref="B1:C1"/>
    <mergeCell ref="B4:C4"/>
    <mergeCell ref="B18:C18"/>
    <mergeCell ref="B32:C3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9"/>
  <sheetViews>
    <sheetView showGridLines="0" zoomScaleNormal="100" workbookViewId="0">
      <selection activeCell="D8" sqref="D8"/>
    </sheetView>
  </sheetViews>
  <sheetFormatPr baseColWidth="10" defaultColWidth="8.6640625" defaultRowHeight="15" x14ac:dyDescent="0.2"/>
  <cols>
    <col min="1" max="1" width="3" customWidth="1"/>
    <col min="2" max="2" width="33.33203125" bestFit="1" customWidth="1"/>
    <col min="3" max="3" width="10.5" bestFit="1" customWidth="1"/>
    <col min="4" max="6" width="9.83203125" bestFit="1" customWidth="1"/>
    <col min="7" max="7" width="22.6640625" bestFit="1" customWidth="1"/>
  </cols>
  <sheetData>
    <row r="1" spans="2:7" ht="25.5" customHeight="1" x14ac:dyDescent="0.2">
      <c r="B1" s="1" t="s">
        <v>276</v>
      </c>
      <c r="C1" s="1"/>
      <c r="D1" s="1"/>
      <c r="E1" s="1"/>
      <c r="F1" s="1"/>
    </row>
    <row r="2" spans="2:7" ht="7.5" customHeight="1" x14ac:dyDescent="0.2"/>
    <row r="3" spans="2:7" ht="19.5" customHeight="1" x14ac:dyDescent="0.2">
      <c r="B3" s="6" t="s">
        <v>277</v>
      </c>
      <c r="C3" s="6"/>
      <c r="D3" s="6"/>
      <c r="E3" s="6"/>
      <c r="F3" s="6"/>
    </row>
    <row r="4" spans="2:7" ht="21.75" customHeight="1" x14ac:dyDescent="0.2">
      <c r="B4" s="11" t="s">
        <v>278</v>
      </c>
      <c r="C4" s="11" t="s">
        <v>279</v>
      </c>
      <c r="D4" s="11" t="s">
        <v>280</v>
      </c>
      <c r="E4" s="11" t="s">
        <v>281</v>
      </c>
      <c r="F4" s="11" t="s">
        <v>282</v>
      </c>
      <c r="G4" s="11" t="s">
        <v>283</v>
      </c>
    </row>
    <row r="5" spans="2:7" ht="19.5" customHeight="1" x14ac:dyDescent="0.2">
      <c r="B5" s="12" t="s">
        <v>284</v>
      </c>
      <c r="C5" s="25">
        <v>0.2</v>
      </c>
      <c r="D5" s="17">
        <v>85</v>
      </c>
      <c r="E5" s="16">
        <v>20</v>
      </c>
      <c r="F5" s="17">
        <v>95</v>
      </c>
      <c r="G5" s="26">
        <f t="shared" ref="G5:G12" si="0">F5*C5</f>
        <v>19</v>
      </c>
    </row>
    <row r="6" spans="2:7" ht="19.5" customHeight="1" x14ac:dyDescent="0.2">
      <c r="B6" s="15" t="s">
        <v>285</v>
      </c>
      <c r="C6" s="27">
        <v>0.2</v>
      </c>
      <c r="D6" s="17">
        <v>80</v>
      </c>
      <c r="E6" s="16">
        <v>30</v>
      </c>
      <c r="F6" s="17">
        <v>90</v>
      </c>
      <c r="G6" s="28">
        <f t="shared" si="0"/>
        <v>18</v>
      </c>
    </row>
    <row r="7" spans="2:7" ht="19.5" customHeight="1" x14ac:dyDescent="0.2">
      <c r="B7" s="12" t="s">
        <v>286</v>
      </c>
      <c r="C7" s="25">
        <v>0.15</v>
      </c>
      <c r="D7" s="20">
        <v>75</v>
      </c>
      <c r="E7" s="20">
        <v>55</v>
      </c>
      <c r="F7" s="17">
        <v>95</v>
      </c>
      <c r="G7" s="26">
        <f t="shared" si="0"/>
        <v>14.25</v>
      </c>
    </row>
    <row r="8" spans="2:7" ht="19.5" customHeight="1" x14ac:dyDescent="0.2">
      <c r="B8" s="15" t="s">
        <v>287</v>
      </c>
      <c r="C8" s="27">
        <v>0.15</v>
      </c>
      <c r="D8" s="20">
        <v>60</v>
      </c>
      <c r="E8" s="16">
        <v>40</v>
      </c>
      <c r="F8" s="17">
        <v>90</v>
      </c>
      <c r="G8" s="28">
        <f t="shared" si="0"/>
        <v>13.5</v>
      </c>
    </row>
    <row r="9" spans="2:7" ht="19.5" customHeight="1" x14ac:dyDescent="0.2">
      <c r="B9" s="12" t="s">
        <v>288</v>
      </c>
      <c r="C9" s="25">
        <v>0.1</v>
      </c>
      <c r="D9" s="16">
        <v>10</v>
      </c>
      <c r="E9" s="16">
        <v>10</v>
      </c>
      <c r="F9" s="16">
        <v>15</v>
      </c>
      <c r="G9" s="26">
        <f t="shared" si="0"/>
        <v>1.5</v>
      </c>
    </row>
    <row r="10" spans="2:7" ht="19.5" customHeight="1" x14ac:dyDescent="0.2">
      <c r="B10" s="15" t="s">
        <v>289</v>
      </c>
      <c r="C10" s="27">
        <v>0.1</v>
      </c>
      <c r="D10" s="20">
        <v>65</v>
      </c>
      <c r="E10" s="16">
        <v>20</v>
      </c>
      <c r="F10" s="17">
        <v>95</v>
      </c>
      <c r="G10" s="28">
        <f t="shared" si="0"/>
        <v>9.5</v>
      </c>
    </row>
    <row r="11" spans="2:7" ht="19.5" customHeight="1" x14ac:dyDescent="0.2">
      <c r="B11" s="12" t="s">
        <v>290</v>
      </c>
      <c r="C11" s="25">
        <v>0.05</v>
      </c>
      <c r="D11" s="17">
        <v>80</v>
      </c>
      <c r="E11" s="20">
        <v>55</v>
      </c>
      <c r="F11" s="17">
        <v>95</v>
      </c>
      <c r="G11" s="26">
        <f t="shared" si="0"/>
        <v>4.75</v>
      </c>
    </row>
    <row r="12" spans="2:7" ht="19.5" customHeight="1" x14ac:dyDescent="0.2">
      <c r="B12" s="15" t="s">
        <v>291</v>
      </c>
      <c r="C12" s="27">
        <v>0.05</v>
      </c>
      <c r="D12" s="20">
        <v>50</v>
      </c>
      <c r="E12" s="16">
        <v>35</v>
      </c>
      <c r="F12" s="17">
        <v>90</v>
      </c>
      <c r="G12" s="28">
        <f t="shared" si="0"/>
        <v>4.5</v>
      </c>
    </row>
    <row r="13" spans="2:7" ht="21.75" customHeight="1" x14ac:dyDescent="0.2">
      <c r="B13" s="29" t="s">
        <v>292</v>
      </c>
      <c r="C13" s="30" t="s">
        <v>293</v>
      </c>
      <c r="D13" s="31">
        <f>SUMPRODUCT(D5:D12,C5:C12)</f>
        <v>67.25</v>
      </c>
      <c r="E13" s="31">
        <f>SUMPRODUCT(E5:E12,C5:C12)</f>
        <v>31.75</v>
      </c>
      <c r="F13" s="31">
        <f>SUMPRODUCT(F5:F12,C5:C12)</f>
        <v>85</v>
      </c>
      <c r="G13" s="31">
        <f>SUM(G5:G12)</f>
        <v>85</v>
      </c>
    </row>
    <row r="14" spans="2:7" ht="9.75" customHeight="1" x14ac:dyDescent="0.2"/>
    <row r="15" spans="2:7" ht="19.5" customHeight="1" x14ac:dyDescent="0.2">
      <c r="B15" s="6" t="s">
        <v>294</v>
      </c>
      <c r="C15" s="6"/>
      <c r="D15" s="6"/>
      <c r="E15" s="6"/>
      <c r="F15" s="6"/>
    </row>
    <row r="16" spans="2:7" ht="27.75" customHeight="1" x14ac:dyDescent="0.2">
      <c r="B16" s="32" t="s">
        <v>295</v>
      </c>
      <c r="C16" s="16" t="s">
        <v>49</v>
      </c>
      <c r="D16" s="5" t="s">
        <v>296</v>
      </c>
      <c r="E16" s="5"/>
      <c r="F16" s="5"/>
      <c r="G16" s="5"/>
    </row>
    <row r="17" spans="2:7" ht="27.75" customHeight="1" x14ac:dyDescent="0.2">
      <c r="B17" s="33" t="s">
        <v>297</v>
      </c>
      <c r="C17" s="20" t="s">
        <v>298</v>
      </c>
      <c r="D17" s="4" t="s">
        <v>299</v>
      </c>
      <c r="E17" s="4"/>
      <c r="F17" s="4"/>
      <c r="G17" s="4"/>
    </row>
    <row r="18" spans="2:7" ht="27.75" customHeight="1" x14ac:dyDescent="0.2">
      <c r="B18" s="32" t="s">
        <v>300</v>
      </c>
      <c r="C18" s="20" t="s">
        <v>42</v>
      </c>
      <c r="D18" s="5" t="s">
        <v>301</v>
      </c>
      <c r="E18" s="5"/>
      <c r="F18" s="5"/>
      <c r="G18" s="5"/>
    </row>
    <row r="19" spans="2:7" ht="27.75" customHeight="1" x14ac:dyDescent="0.2">
      <c r="B19" s="33" t="s">
        <v>302</v>
      </c>
      <c r="C19" s="17" t="s">
        <v>55</v>
      </c>
      <c r="D19" s="4" t="s">
        <v>303</v>
      </c>
      <c r="E19" s="4"/>
      <c r="F19" s="4"/>
      <c r="G19" s="4"/>
    </row>
  </sheetData>
  <mergeCells count="7">
    <mergeCell ref="D18:G18"/>
    <mergeCell ref="D19:G19"/>
    <mergeCell ref="B1:F1"/>
    <mergeCell ref="B3:F3"/>
    <mergeCell ref="B15:F15"/>
    <mergeCell ref="D16:G16"/>
    <mergeCell ref="D17:G1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9"/>
  <sheetViews>
    <sheetView showGridLines="0" tabSelected="1" zoomScaleNormal="100" workbookViewId="0">
      <selection activeCell="C7" sqref="C7"/>
    </sheetView>
  </sheetViews>
  <sheetFormatPr baseColWidth="10" defaultColWidth="8.6640625" defaultRowHeight="15" x14ac:dyDescent="0.2"/>
  <cols>
    <col min="1" max="1" width="3" customWidth="1"/>
    <col min="2" max="2" width="35.33203125" bestFit="1" customWidth="1"/>
    <col min="3" max="3" width="50.5" bestFit="1" customWidth="1"/>
    <col min="4" max="4" width="40.6640625" bestFit="1" customWidth="1"/>
    <col min="5" max="5" width="3" customWidth="1"/>
  </cols>
  <sheetData>
    <row r="1" spans="2:4" ht="25.5" customHeight="1" x14ac:dyDescent="0.2">
      <c r="B1" s="1" t="s">
        <v>304</v>
      </c>
      <c r="C1" s="1"/>
      <c r="D1" s="1"/>
    </row>
    <row r="2" spans="2:4" ht="7.5" customHeight="1" x14ac:dyDescent="0.2"/>
    <row r="3" spans="2:4" ht="19.5" customHeight="1" x14ac:dyDescent="0.2">
      <c r="B3" s="6" t="s">
        <v>305</v>
      </c>
      <c r="C3" s="6"/>
      <c r="D3" s="6"/>
    </row>
    <row r="4" spans="2:4" ht="21.75" customHeight="1" x14ac:dyDescent="0.2">
      <c r="B4" s="11" t="s">
        <v>190</v>
      </c>
      <c r="C4" s="11" t="s">
        <v>306</v>
      </c>
      <c r="D4" s="11" t="s">
        <v>307</v>
      </c>
    </row>
    <row r="5" spans="2:4" ht="64.5" customHeight="1" x14ac:dyDescent="0.2">
      <c r="B5" s="10" t="s">
        <v>206</v>
      </c>
      <c r="C5" s="18" t="s">
        <v>308</v>
      </c>
      <c r="D5" s="24" t="s">
        <v>309</v>
      </c>
    </row>
    <row r="6" spans="2:4" ht="64.5" customHeight="1" x14ac:dyDescent="0.2">
      <c r="B6" s="9" t="s">
        <v>252</v>
      </c>
      <c r="C6" s="19" t="s">
        <v>310</v>
      </c>
      <c r="D6" s="24" t="s">
        <v>311</v>
      </c>
    </row>
    <row r="7" spans="2:4" ht="64.5" customHeight="1" x14ac:dyDescent="0.2">
      <c r="B7" s="10" t="s">
        <v>213</v>
      </c>
      <c r="C7" s="18" t="s">
        <v>312</v>
      </c>
      <c r="D7" s="24" t="s">
        <v>313</v>
      </c>
    </row>
    <row r="8" spans="2:4" ht="64.5" customHeight="1" x14ac:dyDescent="0.2">
      <c r="B8" s="9" t="s">
        <v>314</v>
      </c>
      <c r="C8" s="19" t="s">
        <v>315</v>
      </c>
      <c r="D8" s="24" t="s">
        <v>316</v>
      </c>
    </row>
    <row r="9" spans="2:4" ht="64.5" customHeight="1" x14ac:dyDescent="0.2">
      <c r="B9" s="10" t="s">
        <v>317</v>
      </c>
      <c r="C9" s="18" t="s">
        <v>318</v>
      </c>
      <c r="D9" s="24" t="s">
        <v>319</v>
      </c>
    </row>
  </sheetData>
  <mergeCells count="2">
    <mergeCell ref="B1:D1"/>
    <mergeCell ref="B3:D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CustomerProfiles</vt:lpstr>
      <vt:lpstr>TransactionMonitoring</vt:lpstr>
      <vt:lpstr>CaseInvestigationLog</vt:lpstr>
      <vt:lpstr>STR_Filings</vt:lpstr>
      <vt:lpstr>RiskScoringModel</vt:lpstr>
      <vt:lpstr>TypologyReference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vatsal chavda</cp:lastModifiedBy>
  <cp:revision>0</cp:revision>
  <dcterms:created xsi:type="dcterms:W3CDTF">2026-04-13T18:10:30Z</dcterms:created>
  <dcterms:modified xsi:type="dcterms:W3CDTF">2026-04-14T03:18:25Z</dcterms:modified>
  <dc:language>en-US</dc:language>
</cp:coreProperties>
</file>