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vatsalchavda/Desktop/Co-op/Barclays/"/>
    </mc:Choice>
  </mc:AlternateContent>
  <xr:revisionPtr revIDLastSave="0" documentId="8_{2FA175A3-D414-5445-BA94-54311F62CF53}" xr6:coauthVersionLast="47" xr6:coauthVersionMax="47" xr10:uidLastSave="{00000000-0000-0000-0000-000000000000}"/>
  <bookViews>
    <workbookView xWindow="0" yWindow="660" windowWidth="29400" windowHeight="18460" tabRatio="500" xr2:uid="{00000000-000D-0000-FFFF-FFFF00000000}"/>
  </bookViews>
  <sheets>
    <sheet name="Cover" sheetId="1" r:id="rId1"/>
    <sheet name="Financials" sheetId="2" r:id="rId2"/>
    <sheet name="DCF Model" sheetId="3" r:id="rId3"/>
    <sheet name="Comps" sheetId="4" r:id="rId4"/>
    <sheet name="Precedent Tx" sheetId="5" r:id="rId5"/>
    <sheet name="M&amp;A Analysis" sheetId="6" r:id="rId6"/>
    <sheet name="Capital Structure" sheetId="7" r:id="rId7"/>
    <sheet name="Inv. Summary" sheetId="8" r:id="rId8"/>
    <sheet name="Sensitivity" sheetId="9" r:id="rId9"/>
    <sheet name="Football Field" sheetId="10" r:id="rId10"/>
    <sheet name="Inv. Thesi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9" i="10" l="1"/>
  <c r="D28" i="10"/>
  <c r="D27" i="10"/>
  <c r="D26" i="10"/>
  <c r="D25" i="10"/>
  <c r="D24" i="10"/>
  <c r="C10" i="8"/>
  <c r="C25" i="7"/>
  <c r="C27" i="7" s="1"/>
  <c r="C6" i="7"/>
  <c r="C5" i="7"/>
  <c r="C37" i="6"/>
  <c r="C36" i="6"/>
  <c r="C32" i="6"/>
  <c r="C31" i="6"/>
  <c r="C23" i="6"/>
  <c r="C18" i="6"/>
  <c r="C26" i="7" s="1"/>
  <c r="C17" i="6"/>
  <c r="C13" i="6"/>
  <c r="C12" i="6"/>
  <c r="D15" i="5"/>
  <c r="C19" i="5" s="1"/>
  <c r="G11" i="5"/>
  <c r="G10" i="5"/>
  <c r="G9" i="5"/>
  <c r="G8" i="5"/>
  <c r="G7" i="5"/>
  <c r="G6" i="5"/>
  <c r="G5" i="5"/>
  <c r="E15" i="5" s="1"/>
  <c r="C25" i="4"/>
  <c r="H18" i="4"/>
  <c r="G18" i="4"/>
  <c r="F18" i="4"/>
  <c r="E18" i="4"/>
  <c r="D18" i="4"/>
  <c r="C18" i="4"/>
  <c r="I12" i="4"/>
  <c r="H12" i="4"/>
  <c r="E12" i="4"/>
  <c r="E11" i="4"/>
  <c r="H11" i="4" s="1"/>
  <c r="E10" i="4"/>
  <c r="I10" i="4" s="1"/>
  <c r="I9" i="4"/>
  <c r="H9" i="4"/>
  <c r="E9" i="4"/>
  <c r="E8" i="4"/>
  <c r="I8" i="4" s="1"/>
  <c r="E7" i="4"/>
  <c r="H7" i="4" s="1"/>
  <c r="H6" i="4"/>
  <c r="E6" i="4"/>
  <c r="F5" i="4"/>
  <c r="G5" i="4" s="1"/>
  <c r="E5" i="4"/>
  <c r="H5" i="4" s="1"/>
  <c r="C78" i="3"/>
  <c r="C75" i="3"/>
  <c r="C72" i="3"/>
  <c r="C53" i="3"/>
  <c r="C60" i="3" s="1"/>
  <c r="C49" i="3"/>
  <c r="D49" i="3" s="1"/>
  <c r="G47" i="3"/>
  <c r="F47" i="3"/>
  <c r="E47" i="3"/>
  <c r="D47" i="3"/>
  <c r="G45" i="3"/>
  <c r="F45" i="3"/>
  <c r="E44" i="3"/>
  <c r="F44" i="3" s="1"/>
  <c r="G44" i="3" s="1"/>
  <c r="D44" i="3"/>
  <c r="C37" i="3"/>
  <c r="C31" i="3"/>
  <c r="C34" i="3" s="1"/>
  <c r="C28" i="3"/>
  <c r="C9" i="7" s="1"/>
  <c r="C25" i="3"/>
  <c r="C8" i="7" s="1"/>
  <c r="C12" i="3"/>
  <c r="G8" i="3"/>
  <c r="G7" i="3"/>
  <c r="C6" i="3"/>
  <c r="G5" i="3"/>
  <c r="C4" i="3"/>
  <c r="F41" i="2"/>
  <c r="E41" i="2"/>
  <c r="D41" i="2"/>
  <c r="C41" i="2"/>
  <c r="F17" i="2"/>
  <c r="E17" i="2"/>
  <c r="D17" i="2"/>
  <c r="C17" i="2"/>
  <c r="F11" i="2"/>
  <c r="E11" i="2"/>
  <c r="D11" i="2"/>
  <c r="C11" i="2"/>
  <c r="F8" i="2"/>
  <c r="D23" i="4" s="1"/>
  <c r="E8" i="2"/>
  <c r="E12" i="2" s="1"/>
  <c r="D8" i="2"/>
  <c r="D12" i="2" s="1"/>
  <c r="C8" i="2"/>
  <c r="C12" i="2" s="1"/>
  <c r="C26" i="1"/>
  <c r="C24" i="1"/>
  <c r="E18" i="2" l="1"/>
  <c r="E13" i="2"/>
  <c r="D53" i="3"/>
  <c r="E49" i="3"/>
  <c r="G17" i="4"/>
  <c r="F17" i="4"/>
  <c r="C23" i="4" s="1"/>
  <c r="E23" i="4" s="1"/>
  <c r="F23" i="4" s="1"/>
  <c r="E17" i="4"/>
  <c r="D18" i="2"/>
  <c r="D13" i="2"/>
  <c r="C18" i="2"/>
  <c r="C13" i="2"/>
  <c r="G6" i="3"/>
  <c r="C38" i="3"/>
  <c r="C39" i="3" s="1"/>
  <c r="H8" i="4"/>
  <c r="D17" i="4" s="1"/>
  <c r="F12" i="2"/>
  <c r="I5" i="4"/>
  <c r="F15" i="5"/>
  <c r="C48" i="3"/>
  <c r="C59" i="3"/>
  <c r="H17" i="4"/>
  <c r="C24" i="4" s="1"/>
  <c r="D22" i="4"/>
  <c r="D24" i="4"/>
  <c r="C18" i="5"/>
  <c r="C20" i="5" s="1"/>
  <c r="C21" i="5" s="1"/>
  <c r="C8" i="8" s="1"/>
  <c r="C20" i="6"/>
  <c r="C21" i="6" s="1"/>
  <c r="C7" i="7"/>
  <c r="C38" i="6"/>
  <c r="C19" i="7"/>
  <c r="C10" i="7"/>
  <c r="C15" i="5"/>
  <c r="C24" i="7"/>
  <c r="C17" i="4"/>
  <c r="C55" i="3"/>
  <c r="C58" i="3" s="1"/>
  <c r="H10" i="4"/>
  <c r="C22" i="4" l="1"/>
  <c r="E22" i="4" s="1"/>
  <c r="C27" i="1"/>
  <c r="C19" i="2"/>
  <c r="C21" i="2"/>
  <c r="C23" i="2" s="1"/>
  <c r="C25" i="2" s="1"/>
  <c r="E24" i="4"/>
  <c r="F24" i="4" s="1"/>
  <c r="D21" i="2"/>
  <c r="D23" i="2" s="1"/>
  <c r="D25" i="2" s="1"/>
  <c r="D19" i="2"/>
  <c r="C40" i="3"/>
  <c r="E19" i="2"/>
  <c r="E21" i="2"/>
  <c r="E23" i="2" s="1"/>
  <c r="E25" i="2" s="1"/>
  <c r="F18" i="2"/>
  <c r="F13" i="2"/>
  <c r="E53" i="3"/>
  <c r="F49" i="3"/>
  <c r="D60" i="3"/>
  <c r="D59" i="3"/>
  <c r="G48" i="3"/>
  <c r="F48" i="3"/>
  <c r="E48" i="3"/>
  <c r="D48" i="3"/>
  <c r="D55" i="3" s="1"/>
  <c r="D58" i="3" s="1"/>
  <c r="G65" i="3" l="1"/>
  <c r="F65" i="3"/>
  <c r="E65" i="3"/>
  <c r="G4" i="3"/>
  <c r="D65" i="3"/>
  <c r="C65" i="3"/>
  <c r="D27" i="2"/>
  <c r="D40" i="2"/>
  <c r="D44" i="2" s="1"/>
  <c r="D46" i="2" s="1"/>
  <c r="D47" i="2" s="1"/>
  <c r="D26" i="2"/>
  <c r="F21" i="2"/>
  <c r="C17" i="7"/>
  <c r="F19" i="2"/>
  <c r="C46" i="3" s="1"/>
  <c r="C11" i="7"/>
  <c r="E59" i="3"/>
  <c r="E60" i="3"/>
  <c r="E55" i="3"/>
  <c r="E58" i="3" s="1"/>
  <c r="C40" i="2"/>
  <c r="C44" i="2" s="1"/>
  <c r="C46" i="2" s="1"/>
  <c r="C47" i="2" s="1"/>
  <c r="C26" i="2"/>
  <c r="C27" i="2"/>
  <c r="G49" i="3"/>
  <c r="G53" i="3" s="1"/>
  <c r="F53" i="3"/>
  <c r="C13" i="7"/>
  <c r="E40" i="2"/>
  <c r="E44" i="2" s="1"/>
  <c r="E46" i="2" s="1"/>
  <c r="E47" i="2" s="1"/>
  <c r="E26" i="2"/>
  <c r="E27" i="2"/>
  <c r="C30" i="4"/>
  <c r="F22" i="4"/>
  <c r="C7" i="8" s="1"/>
  <c r="C28" i="1"/>
  <c r="F59" i="3" l="1"/>
  <c r="F60" i="3"/>
  <c r="F55" i="3"/>
  <c r="F58" i="3" s="1"/>
  <c r="G59" i="3"/>
  <c r="G60" i="3"/>
  <c r="G55" i="3"/>
  <c r="G58" i="3" s="1"/>
  <c r="C5" i="3"/>
  <c r="C24" i="6" s="1"/>
  <c r="C40" i="6" s="1"/>
  <c r="D46" i="3"/>
  <c r="C54" i="3"/>
  <c r="C56" i="3" s="1"/>
  <c r="C18" i="7"/>
  <c r="C20" i="7" s="1"/>
  <c r="C21" i="7" s="1"/>
  <c r="C28" i="7"/>
  <c r="C12" i="7"/>
  <c r="F23" i="2"/>
  <c r="F25" i="2" s="1"/>
  <c r="F40" i="2" l="1"/>
  <c r="F44" i="2" s="1"/>
  <c r="F46" i="2" s="1"/>
  <c r="F47" i="2" s="1"/>
  <c r="F27" i="2"/>
  <c r="C35" i="6"/>
  <c r="C39" i="6" s="1"/>
  <c r="C41" i="6" s="1"/>
  <c r="C42" i="6" s="1"/>
  <c r="C29" i="1" s="1"/>
  <c r="J5" i="4"/>
  <c r="F26" i="2"/>
  <c r="C57" i="3"/>
  <c r="C61" i="3"/>
  <c r="E46" i="3"/>
  <c r="D54" i="3"/>
  <c r="D56" i="3" s="1"/>
  <c r="F46" i="3" l="1"/>
  <c r="E54" i="3"/>
  <c r="E56" i="3" s="1"/>
  <c r="C66" i="3"/>
  <c r="D57" i="3"/>
  <c r="D61" i="3" s="1"/>
  <c r="D66" i="3" l="1"/>
  <c r="E57" i="3"/>
  <c r="E61" i="3" s="1"/>
  <c r="G46" i="3"/>
  <c r="G54" i="3" s="1"/>
  <c r="G56" i="3" s="1"/>
  <c r="F54" i="3"/>
  <c r="F56" i="3" s="1"/>
  <c r="E66" i="3" l="1"/>
  <c r="F57" i="3"/>
  <c r="F61" i="3" s="1"/>
  <c r="G57" i="3"/>
  <c r="G61" i="3"/>
  <c r="F66" i="3" l="1"/>
  <c r="C8" i="9"/>
  <c r="D7" i="9"/>
  <c r="E9" i="9"/>
  <c r="G11" i="9"/>
  <c r="C10" i="9"/>
  <c r="G9" i="9"/>
  <c r="F9" i="9"/>
  <c r="D11" i="9"/>
  <c r="H6" i="9"/>
  <c r="D6" i="9"/>
  <c r="G12" i="9"/>
  <c r="H9" i="9"/>
  <c r="D8" i="9"/>
  <c r="C12" i="9"/>
  <c r="D10" i="9"/>
  <c r="H7" i="9"/>
  <c r="C7" i="9"/>
  <c r="C11" i="9"/>
  <c r="F10" i="9"/>
  <c r="F8" i="9"/>
  <c r="C6" i="9"/>
  <c r="D12" i="9"/>
  <c r="F11" i="9"/>
  <c r="G10" i="9"/>
  <c r="H8" i="9"/>
  <c r="C9" i="9"/>
  <c r="E11" i="9"/>
  <c r="G8" i="9"/>
  <c r="H10" i="9"/>
  <c r="E8" i="9"/>
  <c r="H12" i="9"/>
  <c r="E6" i="9"/>
  <c r="D9" i="9"/>
  <c r="G7" i="9"/>
  <c r="F7" i="9"/>
  <c r="G6" i="9"/>
  <c r="E10" i="9"/>
  <c r="C16" i="9" s="1"/>
  <c r="E7" i="9"/>
  <c r="E12" i="9"/>
  <c r="H11" i="9"/>
  <c r="F6" i="9"/>
  <c r="F12" i="9"/>
  <c r="C68" i="3"/>
  <c r="C69" i="3" s="1"/>
  <c r="G66" i="3"/>
  <c r="C70" i="3"/>
  <c r="C71" i="3" l="1"/>
  <c r="C76" i="3" s="1"/>
  <c r="C77" i="3" s="1"/>
  <c r="C79" i="3" l="1"/>
  <c r="C25" i="1" s="1"/>
  <c r="C6" i="8"/>
  <c r="C9" i="8" s="1"/>
  <c r="C11" i="8" s="1"/>
  <c r="C23" i="1"/>
</calcChain>
</file>

<file path=xl/sharedStrings.xml><?xml version="1.0" encoding="utf-8"?>
<sst xmlns="http://schemas.openxmlformats.org/spreadsheetml/2006/main" count="587" uniqueCount="509">
  <si>
    <t>SHOPIFY INC. (SHOP) — INVESTMENT BANKING ANALYSIS</t>
  </si>
  <si>
    <t>COMPANY OVERVIEW</t>
  </si>
  <si>
    <t>Company</t>
  </si>
  <si>
    <t>Shopify Inc.</t>
  </si>
  <si>
    <t>Ticker / Exchange</t>
  </si>
  <si>
    <t>SHOP — NYSE / TSX</t>
  </si>
  <si>
    <t>Sector / Industry</t>
  </si>
  <si>
    <t>Technology / E-Commerce Infrastructure</t>
  </si>
  <si>
    <t>Fiscal Year End</t>
  </si>
  <si>
    <t>December 31</t>
  </si>
  <si>
    <t>Reporting Currency</t>
  </si>
  <si>
    <t>USD (millions)</t>
  </si>
  <si>
    <t>Analysis Date</t>
  </si>
  <si>
    <t>Analyst</t>
  </si>
  <si>
    <t>Vatsal Chavda</t>
  </si>
  <si>
    <t>ANALYSIS COMPONENTS</t>
  </si>
  <si>
    <t>1. Financial Statements</t>
  </si>
  <si>
    <t>Historical Income Statement, Balance Sheet &amp; Cash Flow (FY2021–FY2024)</t>
  </si>
  <si>
    <t>2. DCF Valuation</t>
  </si>
  <si>
    <t>5-Year FCF Projection, WACC, Terminal Value, Implied Share Price</t>
  </si>
  <si>
    <t>3. Comparable Company Analysis</t>
  </si>
  <si>
    <t>EV/Revenue, EV/EBITDA, P/E vs. SaaS/E-Commerce Peers</t>
  </si>
  <si>
    <t>4. Precedent Transactions</t>
  </si>
  <si>
    <t>Selected E-Commerce &amp; Fintech M&amp;A Transactions</t>
  </si>
  <si>
    <t>5. M&amp;A Strategic Analysis</t>
  </si>
  <si>
    <t>Acquisition Target, Synergy Model, Accretion/Dilution</t>
  </si>
  <si>
    <t>6. Capital Structure</t>
  </si>
  <si>
    <t>Debt Capacity, Credit Metrics, Financing Recommendation</t>
  </si>
  <si>
    <t>7. Investment Summary</t>
  </si>
  <si>
    <t>Price Target, Rating, Key Risks &amp; Catalysts</t>
  </si>
  <si>
    <t>KEY OUTPUTS (Live Links)</t>
  </si>
  <si>
    <t>Implied Share Price (DCF)</t>
  </si>
  <si>
    <t>Current Share Price</t>
  </si>
  <si>
    <t>Upside / (Downside)</t>
  </si>
  <si>
    <t>Investment Rating</t>
  </si>
  <si>
    <t>EV/NTM Revenue (Comps Median)</t>
  </si>
  <si>
    <t>Implied EV (Comps)</t>
  </si>
  <si>
    <t>Accretion / (Dilution) — M&amp;A</t>
  </si>
  <si>
    <t>SHOPIFY INC. — HISTORICAL FINANCIAL STATEMENTS  |  FY2021–FY2024  (USD $mm)</t>
  </si>
  <si>
    <t>Source: Shopify Inc. Annual Reports (20-F), SEC EDGAR — https://www.sec.gov/cgi-bin/browse-edgar?action=getcompany&amp;CIK=SHOP</t>
  </si>
  <si>
    <t>Line Item</t>
  </si>
  <si>
    <t>FY2021</t>
  </si>
  <si>
    <t>FY2022</t>
  </si>
  <si>
    <t>FY2023</t>
  </si>
  <si>
    <t>FY2024</t>
  </si>
  <si>
    <t>INCOME STATEMENT</t>
  </si>
  <si>
    <t>Merchant Solutions Revenue</t>
  </si>
  <si>
    <t>Source: Shopify 20-F FY2024, Note 3 Revenue Disaggregation, https://investors.shopify.com</t>
  </si>
  <si>
    <t>Subscription Solutions Revenue</t>
  </si>
  <si>
    <t>Source: Shopify 20-F FY2024, Note 3 Revenue Disaggregation</t>
  </si>
  <si>
    <t>Total Revenue</t>
  </si>
  <si>
    <t>Derived</t>
  </si>
  <si>
    <t>Cost of Revenue — Merchant</t>
  </si>
  <si>
    <t>Source: Shopify 20-F FY2024, Consolidated Statements of Operations</t>
  </si>
  <si>
    <t>Cost of Revenue — Subscription</t>
  </si>
  <si>
    <t>Source: Shopify 20-F FY2024</t>
  </si>
  <si>
    <t>Total Cost of Revenue</t>
  </si>
  <si>
    <t>Gross Profit</t>
  </si>
  <si>
    <t>Gross Margin %</t>
  </si>
  <si>
    <t>Sales &amp; Marketing</t>
  </si>
  <si>
    <t>Source: Shopify 20-F FY2024, Operating Expenses</t>
  </si>
  <si>
    <t>Research &amp; Development</t>
  </si>
  <si>
    <t>General &amp; Administrative</t>
  </si>
  <si>
    <t>Total Operating Expenses</t>
  </si>
  <si>
    <t>EBITDA (adj.)</t>
  </si>
  <si>
    <t>Derived: Gross Profit less OpEx (excl. D&amp;A)</t>
  </si>
  <si>
    <t>EBITDA Margin %</t>
  </si>
  <si>
    <t>Depreciation &amp; Amortization</t>
  </si>
  <si>
    <t>Source: Shopify 20-F FY2024, Cash Flow Statement</t>
  </si>
  <si>
    <t>EBIT</t>
  </si>
  <si>
    <t>Interest &amp; Other Income (net)</t>
  </si>
  <si>
    <t>Pre-Tax Income</t>
  </si>
  <si>
    <t>Income Tax Expense</t>
  </si>
  <si>
    <t>Net Income</t>
  </si>
  <si>
    <t>Net Margin %</t>
  </si>
  <si>
    <t>Diluted EPS (USD)</t>
  </si>
  <si>
    <t>Derived using ~1,278M diluted shares FY2024; Shopify 20-F</t>
  </si>
  <si>
    <t>BALANCE SHEET (Selected Items)</t>
  </si>
  <si>
    <t>Cash &amp; Cash Equivalents</t>
  </si>
  <si>
    <t>Source: Shopify 20-F FY2024, Consolidated Balance Sheets</t>
  </si>
  <si>
    <t>Total Current Assets</t>
  </si>
  <si>
    <t>Total Assets</t>
  </si>
  <si>
    <t>Total Current Liabilities</t>
  </si>
  <si>
    <t>Long-Term Debt</t>
  </si>
  <si>
    <t>Source: Shopify 20-F FY2024 — Convertible Notes</t>
  </si>
  <si>
    <t>Total Liabilities</t>
  </si>
  <si>
    <t>Total Shareholders' Equity</t>
  </si>
  <si>
    <t>Shares Outstanding (mm)</t>
  </si>
  <si>
    <t>Source: Shopify 20-F FY2024, Cover Page</t>
  </si>
  <si>
    <t>CASH FLOW STATEMENT (Selected Items)</t>
  </si>
  <si>
    <t>Linked from Income Statement above</t>
  </si>
  <si>
    <t>Stock-Based Compensation</t>
  </si>
  <si>
    <t>Changes in Working Capital</t>
  </si>
  <si>
    <t>Cash from Operations</t>
  </si>
  <si>
    <t>Capital Expenditures</t>
  </si>
  <si>
    <t>Free Cash Flow</t>
  </si>
  <si>
    <t>Derived: CFO + CapEx (CapEx is negative)</t>
  </si>
  <si>
    <t>FCF Margin %</t>
  </si>
  <si>
    <t>KEY MODEL ASSUMPTIONS  —  All Blue Cells Are Inputs  |  Change Here to Update Entire Model</t>
  </si>
  <si>
    <t>Assumptions flow into FCF Build below. WACC and Terminal Growth drive Sensitivity Table.</t>
  </si>
  <si>
    <t>Assumption</t>
  </si>
  <si>
    <t>Value</t>
  </si>
  <si>
    <t>Notes</t>
  </si>
  <si>
    <t>Revenue Growth (FY2025E)</t>
  </si>
  <si>
    <t>Linked — change in row 44</t>
  </si>
  <si>
    <t>WACC</t>
  </si>
  <si>
    <t>Linked — change in row 40</t>
  </si>
  <si>
    <t>EBITDA Margin (FY2025E)</t>
  </si>
  <si>
    <t>Linked — change in row 46</t>
  </si>
  <si>
    <t>Terminal Growth Rate</t>
  </si>
  <si>
    <t>Linked — change in row 67</t>
  </si>
  <si>
    <t>Tax Rate</t>
  </si>
  <si>
    <t>Linked — change in row 36</t>
  </si>
  <si>
    <t>Risk-Free Rate</t>
  </si>
  <si>
    <t>10yr US Treasury</t>
  </si>
  <si>
    <t>CapEx (% Revenue)</t>
  </si>
  <si>
    <t>0.5% — asset-light model</t>
  </si>
  <si>
    <t>Beta</t>
  </si>
  <si>
    <t>5yr adjusted beta</t>
  </si>
  <si>
    <t>Change in NWC (% Revenue)</t>
  </si>
  <si>
    <t>1.0% working capital drag</t>
  </si>
  <si>
    <t>Equity Risk Premium</t>
  </si>
  <si>
    <t>Damodaran ERP</t>
  </si>
  <si>
    <t>COLOR CODING:  Blue = Input  |  Black = Formula  |  Green = Cross-Sheet Link  |  Units: USD $mm throughout</t>
  </si>
  <si>
    <t>UNITS: USD Millions ($mm) throughout  |  Source: Shopify 20-F FY2024, SEC EDGAR, Yahoo Finance, Damodaran Online</t>
  </si>
  <si>
    <t>SHOPIFY INC. — DISCOUNTED CASH FLOW VALUATION  |  5-Year Projection (FY2025E–FY2029E)</t>
  </si>
  <si>
    <t>Methodology: Unlevered FCF → WACC Discount → Terminal Value (Gordon Growth) → Equity Bridge</t>
  </si>
  <si>
    <t>MARKET DATA &amp; SHARE INFORMATION</t>
  </si>
  <si>
    <t>Current Share Price (USD)</t>
  </si>
  <si>
    <t>Source: Yahoo Finance / NYSE, March 2026 — https://finance.yahoo.com/quote/SHOP</t>
  </si>
  <si>
    <t>Market Capitalization (USD $mm)</t>
  </si>
  <si>
    <t>Derived: Price × Shares</t>
  </si>
  <si>
    <t>Total Debt (USD $mm)</t>
  </si>
  <si>
    <t>Source: Shopify 20-F FY2024 — Convertible Senior Notes</t>
  </si>
  <si>
    <t>Cash &amp; Equivalents (USD $mm)</t>
  </si>
  <si>
    <t>Source: Shopify 20-F FY2024, Balance Sheet</t>
  </si>
  <si>
    <t>Enterprise Value (USD $mm)</t>
  </si>
  <si>
    <t>Derived: Mkt Cap + Debt - Cash</t>
  </si>
  <si>
    <t>WACC ASSUMPTIONS</t>
  </si>
  <si>
    <t>Risk-Free Rate (10yr US Treasury)</t>
  </si>
  <si>
    <t>Source: US Treasury, March 2026 — https://home.treasury.gov/resource-center/data-chart-center/interest-rates</t>
  </si>
  <si>
    <t>Source: Damodaran Online, Jan 2026 — https://pages.stern.nyu.edu/~adamodar/</t>
  </si>
  <si>
    <t>Beta (5yr Monthly vs. S&amp;P 500)</t>
  </si>
  <si>
    <t>Source: Yahoo Finance SHOP 2yr adjusted beta; SaaS peer avg ~1.1x, March 2026</t>
  </si>
  <si>
    <t>Cost of Equity (CAPM)</t>
  </si>
  <si>
    <t>Derived: Rf + β × ERP</t>
  </si>
  <si>
    <t>Pre-Tax Cost of Debt</t>
  </si>
  <si>
    <t>Source: Shopify 20-F FY2024 — 0.125% Convertible Notes coupon (effective ~1.75%)</t>
  </si>
  <si>
    <t>Source: Shopify effective tax rate FY2024 — Shopify 20-F FY2024</t>
  </si>
  <si>
    <t>After-Tax Cost of Debt</t>
  </si>
  <si>
    <t>Equity Weight</t>
  </si>
  <si>
    <t>Derived: Mkt Cap / (Mkt Cap + Debt)</t>
  </si>
  <si>
    <t>Debt Weight</t>
  </si>
  <si>
    <t>Derived: Ke×We + Kd×Wd</t>
  </si>
  <si>
    <t>REVENUE &amp; FCF PROJECTION  (FY2025E–FY2029E)</t>
  </si>
  <si>
    <t>Item</t>
  </si>
  <si>
    <t>FY2025E</t>
  </si>
  <si>
    <t>FY2026E</t>
  </si>
  <si>
    <t>FY2027E</t>
  </si>
  <si>
    <t>FY2028E</t>
  </si>
  <si>
    <t>FY2029E</t>
  </si>
  <si>
    <t>Source / Note</t>
  </si>
  <si>
    <t>Revenue Growth Rate</t>
  </si>
  <si>
    <t>FCF Conversion (% EBITDA)</t>
  </si>
  <si>
    <t>D&amp;A (% Revenue)</t>
  </si>
  <si>
    <t>Total Revenue (USD $mm)</t>
  </si>
  <si>
    <t>FREE CASH FLOW BUILD</t>
  </si>
  <si>
    <t>Revenue (USD $mm)</t>
  </si>
  <si>
    <t>EBITDA</t>
  </si>
  <si>
    <t>Less: D&amp;A</t>
  </si>
  <si>
    <t>Less: Taxes (NOPAT)</t>
  </si>
  <si>
    <t>Add back: D&amp;A</t>
  </si>
  <si>
    <t>Less: CapEx (% Rev, est. 0.5%)</t>
  </si>
  <si>
    <t>Less: Change in Working Capital</t>
  </si>
  <si>
    <t>Unlevered Free Cash Flow</t>
  </si>
  <si>
    <t>PRESENT VALUE CALCULATIONS</t>
  </si>
  <si>
    <t>Discount Period</t>
  </si>
  <si>
    <t>Discount Factor</t>
  </si>
  <si>
    <t>PV of FCF</t>
  </si>
  <si>
    <t>Conservative LT growth rate; aligned with global nominal GDP growth assumption</t>
  </si>
  <si>
    <t>Terminal Value (Gordon Growth Model)</t>
  </si>
  <si>
    <t>TV = FCFn+1 / (WACC - g);  Gordon Growth Model</t>
  </si>
  <si>
    <t>PV of Terminal Value</t>
  </si>
  <si>
    <t>Sum of PV of FCFs</t>
  </si>
  <si>
    <t>Enterprise Value (Intrinsic)</t>
  </si>
  <si>
    <t>Less: Total Debt</t>
  </si>
  <si>
    <t>Less: Minority Interest</t>
  </si>
  <si>
    <t>Shopify has no minority interest — included for completeness</t>
  </si>
  <si>
    <t>Less: Preferred Equity</t>
  </si>
  <si>
    <t>No preferred equity outstanding — included per IB convention</t>
  </si>
  <si>
    <t>Add: Cash &amp; Equivalents</t>
  </si>
  <si>
    <t>Equity Value (Intrinsic)</t>
  </si>
  <si>
    <t>Derived: Equity Value / Shares Outstanding</t>
  </si>
  <si>
    <t>COMPARABLE COMPANY ANALYSIS  |  E-Commerce &amp; SaaS Platform Peers  (USD $mm)</t>
  </si>
  <si>
    <t>Source: Capital IQ / Yahoo Finance / Company Filings — Data as of March 2026</t>
  </si>
  <si>
    <t>Ticker</t>
  </si>
  <si>
    <t>Mkt Cap
($mm)</t>
  </si>
  <si>
    <t>EV
($mm)</t>
  </si>
  <si>
    <t>NTM Rev
($mm)</t>
  </si>
  <si>
    <t>NTM
EBITDA</t>
  </si>
  <si>
    <t>EV/NTM
Revenue</t>
  </si>
  <si>
    <t>EV/NTM
EBITDA</t>
  </si>
  <si>
    <t>NTM P/E</t>
  </si>
  <si>
    <t>Rev Growth
(NTM)</t>
  </si>
  <si>
    <t>SHOP</t>
  </si>
  <si>
    <t>Squarespace</t>
  </si>
  <si>
    <t>SQSP</t>
  </si>
  <si>
    <t>NM</t>
  </si>
  <si>
    <t>BigCommerce</t>
  </si>
  <si>
    <t>BIGC</t>
  </si>
  <si>
    <t>Salesforce</t>
  </si>
  <si>
    <t>CRM</t>
  </si>
  <si>
    <t>HubSpot</t>
  </si>
  <si>
    <t>HUBS</t>
  </si>
  <si>
    <t>Wix.com</t>
  </si>
  <si>
    <t>WIX</t>
  </si>
  <si>
    <t>Lightspeed Commerce</t>
  </si>
  <si>
    <t>LSPD</t>
  </si>
  <si>
    <t>Toast Inc.</t>
  </si>
  <si>
    <t>TOST</t>
  </si>
  <si>
    <t>Source: Capital IQ / Yahoo Finance consensus estimates, March 2026 — https://finance.yahoo.com</t>
  </si>
  <si>
    <t>PEER STATISTICS  (Excluding Shopify)</t>
  </si>
  <si>
    <t>Metric</t>
  </si>
  <si>
    <t>Min</t>
  </si>
  <si>
    <t>25th Pct.</t>
  </si>
  <si>
    <t>Median</t>
  </si>
  <si>
    <t>75th Pct.</t>
  </si>
  <si>
    <t>Max</t>
  </si>
  <si>
    <t>Mean</t>
  </si>
  <si>
    <t>EV / NTM Revenue</t>
  </si>
  <si>
    <t>NTM Revenue Growth</t>
  </si>
  <si>
    <t>IMPLIED VALUATION FOR SHOPIFY</t>
  </si>
  <si>
    <t>Methodology</t>
  </si>
  <si>
    <t>Multiple Used</t>
  </si>
  <si>
    <t>Shopify Metric</t>
  </si>
  <si>
    <t>Implied EV</t>
  </si>
  <si>
    <t>Implied Price</t>
  </si>
  <si>
    <t>EV/NTM Revenue — Median</t>
  </si>
  <si>
    <t>EV/NTM Revenue — 75th Pct.</t>
  </si>
  <si>
    <t>EV/NTM Revenue — Mean</t>
  </si>
  <si>
    <t>Shopify Current EV (Market)</t>
  </si>
  <si>
    <t>Comps Implied EV (Median)</t>
  </si>
  <si>
    <t>PRECEDENT TRANSACTION ANALYSIS  |  E-Commerce &amp; Fintech M&amp;A  (2013–2024)</t>
  </si>
  <si>
    <t>Source: Public deal announcements, press releases, SEC filings — see source column</t>
  </si>
  <si>
    <t>Target</t>
  </si>
  <si>
    <t>Acquirer</t>
  </si>
  <si>
    <t>Year</t>
  </si>
  <si>
    <t>Transaction
Value ($mm)</t>
  </si>
  <si>
    <t>LTM Revenue
($mm)</t>
  </si>
  <si>
    <t>EV/LTM
Revenue</t>
  </si>
  <si>
    <t>EV/LTM
EBITDA</t>
  </si>
  <si>
    <t>Deal Rationale</t>
  </si>
  <si>
    <t>After Pay</t>
  </si>
  <si>
    <t>Block (Square)</t>
  </si>
  <si>
    <t>Source: Block Inc. press release, Aug 2021 — https://squareup.com/us/en/press/square-acquires-afterpay</t>
  </si>
  <si>
    <t>Magento</t>
  </si>
  <si>
    <t>Adobe Systems</t>
  </si>
  <si>
    <t>Source: Adobe press release, May 2018 — https://news.adobe.com/news/news-details/2018/Adobe-to-Acquire-Magento-Commerce</t>
  </si>
  <si>
    <t>Braintree+Venmo</t>
  </si>
  <si>
    <t>PayPal Holdings</t>
  </si>
  <si>
    <t>Source: PayPal press release, Sept 2013</t>
  </si>
  <si>
    <t>SendGrid</t>
  </si>
  <si>
    <t>Twilio</t>
  </si>
  <si>
    <t>Source: Twilio press release, Oct 2018 — https://investors.twilio.com</t>
  </si>
  <si>
    <t>Demandware</t>
  </si>
  <si>
    <t>Source: Salesforce press release, June 2016</t>
  </si>
  <si>
    <t>ChannelAdvisor</t>
  </si>
  <si>
    <t>CommerceHub</t>
  </si>
  <si>
    <t>12.0</t>
  </si>
  <si>
    <t>Source: CommerceHub press release, April 2022</t>
  </si>
  <si>
    <t>Nuvei (privatized)</t>
  </si>
  <si>
    <t>Advent International</t>
  </si>
  <si>
    <t>Source: Nuvei press release, March 2024 — https://www.nuvei.com</t>
  </si>
  <si>
    <t>TRANSACTION STATISTICS</t>
  </si>
  <si>
    <t>EV/LTM Revenue (x)</t>
  </si>
  <si>
    <t>SHOPIFY PRECEDENT-BASED IMPLIED VALUE</t>
  </si>
  <si>
    <t>LTM Revenue (Shopify FY2024)</t>
  </si>
  <si>
    <t>Median Transaction Multiple</t>
  </si>
  <si>
    <t>Implied EV (Precedents)</t>
  </si>
  <si>
    <t>Implied Share Price</t>
  </si>
  <si>
    <t>M&amp;A STRATEGIC ANALYSIS  |  Proposed Acquisition: Klaviyo Inc. (KVYO) by Shopify</t>
  </si>
  <si>
    <t>Rationale: Accelerate merchant data flywheel; deepen CRM/email marketing integration in Shopify ecosystem</t>
  </si>
  <si>
    <t>TARGET OVERVIEW — KLAVIYO INC. (KVYO)</t>
  </si>
  <si>
    <t>Target Company</t>
  </si>
  <si>
    <t>Klaviyo Inc.</t>
  </si>
  <si>
    <t>E-commerce CRM and marketing automation platform</t>
  </si>
  <si>
    <t>KVYO — NYSE</t>
  </si>
  <si>
    <t>Listed September 2023</t>
  </si>
  <si>
    <t>LTM Revenue (USD $mm)</t>
  </si>
  <si>
    <t>Source: Klaviyo Q3 2024 earnings — https://ir.klaviyo.com</t>
  </si>
  <si>
    <t>LTM Revenue Growth</t>
  </si>
  <si>
    <t>Source: Klaviyo Q3 2024 — 34% YoY growth</t>
  </si>
  <si>
    <t>Gross Margin</t>
  </si>
  <si>
    <t>Source: Klaviyo Q3 2024 — 75.7% gross margin</t>
  </si>
  <si>
    <t>Current Market Cap ($mm)</t>
  </si>
  <si>
    <t>Source: Yahoo Finance, March 2026 — https://finance.yahoo.com/quote/KVYO</t>
  </si>
  <si>
    <t>Net Cash / (Debt) ($mm)</t>
  </si>
  <si>
    <t>Source: Klaviyo Q3 2024 Balance Sheet</t>
  </si>
  <si>
    <t>EV (Current)</t>
  </si>
  <si>
    <t>Derived: Mkt Cap minus Net Cash</t>
  </si>
  <si>
    <t>EV/LTM Revenue (Current)</t>
  </si>
  <si>
    <t>DEAL STRUCTURE ASSUMPTIONS</t>
  </si>
  <si>
    <t>Acquisition Premium</t>
  </si>
  <si>
    <t>35% premium — in line with precedent transactions for high-growth SaaS</t>
  </si>
  <si>
    <t>Offer Price per Share ($)</t>
  </si>
  <si>
    <t>Derived: Current price × (1 + premium)</t>
  </si>
  <si>
    <t>Transaction Value ($mm)</t>
  </si>
  <si>
    <t>Assumed Debt ($mm)</t>
  </si>
  <si>
    <t>Net cash target; assumed no debt transfer</t>
  </si>
  <si>
    <t>Transaction EV ($mm)</t>
  </si>
  <si>
    <t>Transaction value minus target net cash</t>
  </si>
  <si>
    <t>EV/LTM Revenue Paid</t>
  </si>
  <si>
    <t>Deal multiple on transaction EV</t>
  </si>
  <si>
    <t>Financing: % Cash</t>
  </si>
  <si>
    <t>100% cash deal — Shopify has $6.1B cash</t>
  </si>
  <si>
    <t>Financing: % Stock</t>
  </si>
  <si>
    <t>Remaining financed in stock if any</t>
  </si>
  <si>
    <t>New Shares Issued (mm)</t>
  </si>
  <si>
    <t>Derived: Stock consideration / Shopify price</t>
  </si>
  <si>
    <t>SYNERGY ANALYSIS</t>
  </si>
  <si>
    <t>Revenue Synergies (Year 1, $mm)</t>
  </si>
  <si>
    <t>Cross-sell Klaviyo to 2M+ Shopify merchants; estimated 5% merchant penetration × $1,200 avg contract</t>
  </si>
  <si>
    <t>Revenue Synergies (Year 3, $mm)</t>
  </si>
  <si>
    <t>Scaled cross-sell + Shopify integration premium pricing</t>
  </si>
  <si>
    <t>Cost Synergies (Year 1, $mm)</t>
  </si>
  <si>
    <t>G&amp;A consolidation, infrastructure overlap, sales team rationalization</t>
  </si>
  <si>
    <t>Cost Synergies (Year 3, $mm)</t>
  </si>
  <si>
    <t>Full integration realized; engineering headcount optimization</t>
  </si>
  <si>
    <t>Total Synergies (Year 3, $mm)</t>
  </si>
  <si>
    <t>Revenue + Cost synergies at Year 3</t>
  </si>
  <si>
    <t>PV of Synergies ($mm, 10yr, WACC)</t>
  </si>
  <si>
    <t>Simplified PV using ~6.5x synergy multiple at WACC</t>
  </si>
  <si>
    <t>ACCRETION / DILUTION ANALYSIS</t>
  </si>
  <si>
    <t>Shopify Standalone EPS (NTM, $)</t>
  </si>
  <si>
    <t>Derived: NTM Net Income / Shares (est. 20% NI growth)</t>
  </si>
  <si>
    <t>Klaviyo NTM Net Income ($mm)</t>
  </si>
  <si>
    <t>Est: NTM Rev × 34% growth × 8% net margin</t>
  </si>
  <si>
    <t>After-Tax Synergies Year 1 ($mm)</t>
  </si>
  <si>
    <t>75% after-tax realization rate</t>
  </si>
  <si>
    <t>Interest Income Lost on Cash ($mm)</t>
  </si>
  <si>
    <t>Cost of deploying cash at ~4.5% opportunity rate</t>
  </si>
  <si>
    <t>Combined Net Income ($mm)</t>
  </si>
  <si>
    <t>Shopify standalone + Klaviyo NI + synergies + interest lost</t>
  </si>
  <si>
    <t>Pro Forma Shares (mm)</t>
  </si>
  <si>
    <t>Standalone shares + new shares issued</t>
  </si>
  <si>
    <t>Pro Forma EPS ($)</t>
  </si>
  <si>
    <t>Combined NI / Pro Forma shares</t>
  </si>
  <si>
    <t>Accretion / (Dilution)</t>
  </si>
  <si>
    <t>Pro forma EPS vs. standalone EPS</t>
  </si>
  <si>
    <t>CAPITAL STRUCTURE ANALYSIS  |  Debt Capacity &amp; Financing Recommendation</t>
  </si>
  <si>
    <t>Source: Shopify 20-F FY2024, Credit Metrics, Peer Capital Structure Benchmarking</t>
  </si>
  <si>
    <t>CURRENT CAPITAL STRUCTURE</t>
  </si>
  <si>
    <t>Total Debt ($mm)</t>
  </si>
  <si>
    <t>Convertible Senior Notes due 2025/2028 — Shopify 20-F FY2024</t>
  </si>
  <si>
    <t>Cash &amp; Equivalents ($mm)</t>
  </si>
  <si>
    <t>Shopify 20-F FY2024, Balance Sheet</t>
  </si>
  <si>
    <t>Net Debt / (Net Cash) ($mm)</t>
  </si>
  <si>
    <t>Negative = net cash position</t>
  </si>
  <si>
    <t>Market Cap ($mm)</t>
  </si>
  <si>
    <t>Linked from DCF sheet</t>
  </si>
  <si>
    <t>Enterprise Value ($mm)</t>
  </si>
  <si>
    <t>Debt / EV</t>
  </si>
  <si>
    <t>Derived — minimal leverage</t>
  </si>
  <si>
    <t>Debt / EBITDA (x)</t>
  </si>
  <si>
    <t>FY2024 EBITDA from Financials</t>
  </si>
  <si>
    <t>Interest Coverage (EBIT/Int.)</t>
  </si>
  <si>
    <t>Conservative: using Other Income as proxy for interest</t>
  </si>
  <si>
    <t>Net Debt / EBITDA (x)</t>
  </si>
  <si>
    <t>Negative = net cash; no leverage concern</t>
  </si>
  <si>
    <t>DEBT CAPACITY ANALYSIS</t>
  </si>
  <si>
    <t>Target Leverage (Net Debt/EBITDA)</t>
  </si>
  <si>
    <t>Conservative tech company leverage ceiling</t>
  </si>
  <si>
    <t>FY2024 EBITDA ($mm)</t>
  </si>
  <si>
    <t>Linked</t>
  </si>
  <si>
    <t>Maximum Gross Debt Capacity ($mm)</t>
  </si>
  <si>
    <t>Target leverage × EBITDA</t>
  </si>
  <si>
    <t>Less: Existing Debt ($mm)</t>
  </si>
  <si>
    <t>Current debt</t>
  </si>
  <si>
    <t>Additional Debt Capacity ($mm)</t>
  </si>
  <si>
    <t>Incremental borrowing room</t>
  </si>
  <si>
    <t>Total Liquidity Available ($mm)</t>
  </si>
  <si>
    <t>Cash + additional debt capacity</t>
  </si>
  <si>
    <t>FINANCING RECOMMENDATION</t>
  </si>
  <si>
    <t>Proposed Transaction (Klaviyo)</t>
  </si>
  <si>
    <t>Total deal cost — linked from M&amp;A sheet</t>
  </si>
  <si>
    <t>Funded by: Cash on Hand</t>
  </si>
  <si>
    <t>100% cash deal per M&amp;A assumptions</t>
  </si>
  <si>
    <t>Funded by: New Equity</t>
  </si>
  <si>
    <t>Stock component per M&amp;A assumptions</t>
  </si>
  <si>
    <t>Remaining Cash Post-Deal ($mm)</t>
  </si>
  <si>
    <t>Shopify cash after acquisition</t>
  </si>
  <si>
    <t>Post-Deal Net Debt / EBITDA (x)</t>
  </si>
  <si>
    <t>Post-deal leverage assessment</t>
  </si>
  <si>
    <t>Credit Rating Assessment</t>
  </si>
  <si>
    <t>Investment Grade (Implied)</t>
  </si>
  <si>
    <t>Net cash position post-deal; strong FCF generation supports IG rating</t>
  </si>
  <si>
    <t>INVESTMENT SUMMARY  |  Shopify Inc. (SHOP)  —  Final Recommendation</t>
  </si>
  <si>
    <t>Prepared by: Vatsal Chavda  |  Honours BCom (Finance), Seneca Polytechnic  |  March 2026</t>
  </si>
  <si>
    <t>INVESTMENT RATING &amp; PRICE TARGET</t>
  </si>
  <si>
    <t>SELL</t>
  </si>
  <si>
    <t>DCF Price Target (USD)</t>
  </si>
  <si>
    <t>Comps-Implied Price (Median)</t>
  </si>
  <si>
    <t>Precedents-Implied Price</t>
  </si>
  <si>
    <t>Blended Price Target</t>
  </si>
  <si>
    <t>Current Market Price</t>
  </si>
  <si>
    <t>Upside to Blended Target</t>
  </si>
  <si>
    <t>VALUATION METHODOLOGY WEIGHTING</t>
  </si>
  <si>
    <t>DCF (Intrinsic Value)</t>
  </si>
  <si>
    <t>50%</t>
  </si>
  <si>
    <t>Primary methodology — most rigorous for high-growth company</t>
  </si>
  <si>
    <t>Comparable Companies</t>
  </si>
  <si>
    <t>30%</t>
  </si>
  <si>
    <t>Market-based; reflects current sector sentiment</t>
  </si>
  <si>
    <t>Precedent Transactions</t>
  </si>
  <si>
    <t>20%</t>
  </si>
  <si>
    <t>Control premium perspective; less directly applicable</t>
  </si>
  <si>
    <t>KEY INVESTMENT CATALYSTS</t>
  </si>
  <si>
    <t>Shopify Payments Penetration</t>
  </si>
  <si>
    <t>Merchant Solutions revenue growing at 37% YoY — take rate expansion as Shopify Payments becomes primary processor for Shopify's 2M+ merchants globally</t>
  </si>
  <si>
    <t>International Expansion</t>
  </si>
  <si>
    <t>Shopify Markets Pro scaling in EU/APAC; international GMV mix rising toward 40% — significant TAM expansion</t>
  </si>
  <si>
    <t>Merchant of Record (MoR)</t>
  </si>
  <si>
    <t>Full-stack cross-border commerce solution with Shopify handling tax compliance, FX, fraud — high-margin, sticky offering</t>
  </si>
  <si>
    <t>B2B / Wholesale Commerce</t>
  </si>
  <si>
    <t>Shopify Plus B2B GMV growing 145% YoY; penetration of $10T B2B market underway</t>
  </si>
  <si>
    <t>AI Integration</t>
  </si>
  <si>
    <t>Shopify Sidekick (AI assistant) + AI-powered storefront personalization — positions Shopify at forefront of commerce AI</t>
  </si>
  <si>
    <t>KEY RISKS</t>
  </si>
  <si>
    <t>Macro / GMV Slowdown</t>
  </si>
  <si>
    <t>Consumer spending sensitivity; GMV growth decelerates sharply in recession scenario — directly impacts Merchant Solutions revenue (~75% of total)</t>
  </si>
  <si>
    <t>Competition</t>
  </si>
  <si>
    <t>Amazon, WooCommerce, BigCommerce, and emerging headless commerce platforms compete on price; merchant switching costs exist but are not absolute</t>
  </si>
  <si>
    <t>Payment Processing Margin</t>
  </si>
  <si>
    <t>Shopify Payments margin compression as interchange rates and competition from Stripe/Adyen increase; currently ~1.5% take rate</t>
  </si>
  <si>
    <t>Acquisition Integration Risk</t>
  </si>
  <si>
    <t>Klaviyo integration risk: cultural fit, technology consolidation, key employee retention, and synergy realization timing</t>
  </si>
  <si>
    <t>Valuation Premium</t>
  </si>
  <si>
    <t>At ~11x NTM Revenue, Shopify trades at a significant premium to peers; any growth deceleration risks a de-rating to 6–8x range</t>
  </si>
  <si>
    <t>INVESTMENT THESIS SUMMARY</t>
  </si>
  <si>
    <t>SELL — Shopify is unquestionably a best-in-class commerce infrastructure platform, with Shopify Payments, Capital, Balance, and Markets creating a deeply embedded, high-switching-cost merchant ecosystem. However, at $87.20, the market is pricing in a scenario that our three-methodology valuation framework does not support. Our DCF (50% weight) implies an intrinsic value of ~$22–45 depending on WACC sensitivity, our comparable company analysis (30% weight) implies ~$55 based on peer EV/NTM Revenue medians, and precedent transactions (20% weight) imply ~$87 — a control premium not applicable to a minority market purchase. The blended price target of ~$45 represents 48% downside from current levels. The proposed Klaviyo acquisition ($8.4B) creates strategic logic but is dilutive in Year 1 under base case assumptions. Key downside risks include GMV deceleration in a consumer spending slowdown, payment processing margin compression, and the stock's sensitivity to multiple compression from current ~11x NTM Revenue. We would revisit our rating on a pullback to the $45–55 range.</t>
  </si>
  <si>
    <t>DCF SENSITIVITY ANALYSIS  |  Implied Share Price vs. WACC &amp; Terminal Growth Rate</t>
  </si>
  <si>
    <t>Interpretation: Read each cell as the implied share price at that WACC (columns) and Terminal Growth Rate (rows) combination</t>
  </si>
  <si>
    <t>TABLE 1 — IMPLIED SHARE PRICE  (WACC vs. Terminal Growth Rate)</t>
  </si>
  <si>
    <t>Terminal Growth ↓  /  WACC →</t>
  </si>
  <si>
    <t>KEY: Gold cell = Base Case (WACC 9.73%, TG 4.0%)  |  Current Market Price = $87.20</t>
  </si>
  <si>
    <t>Current Share Price (Market)</t>
  </si>
  <si>
    <t>Implied Upside at Base Case</t>
  </si>
  <si>
    <t>TABLE 2 — SENSITIVITY INTERPRETATION</t>
  </si>
  <si>
    <t>Cells showing &gt; $87.20</t>
  </si>
  <si>
    <t>Scenarios where model implies stock is UNDERVALUED (BUY territory)</t>
  </si>
  <si>
    <t>Cells showing $50–$87</t>
  </si>
  <si>
    <t>Scenarios where model implies MODERATE downside risk</t>
  </si>
  <si>
    <t>Cells showing &lt; $50</t>
  </si>
  <si>
    <t>Scenarios where model implies SIGNIFICANT SELL (base case falls here)</t>
  </si>
  <si>
    <t>Gold cell</t>
  </si>
  <si>
    <t>Our base case assumption (WACC 9.73%, Terminal Growth 4.0%)</t>
  </si>
  <si>
    <t>FOOTBALL FIELD VALUATION SUMMARY  |  Shopify Inc. (SHOP)</t>
  </si>
  <si>
    <t>Comparison of implied share price ranges across three valuation methodologies</t>
  </si>
  <si>
    <t>VALUATION RANGE SUMMARY</t>
  </si>
  <si>
    <t>Low ($)</t>
  </si>
  <si>
    <t>High ($)</t>
  </si>
  <si>
    <t>Basis / Notes</t>
  </si>
  <si>
    <t>DCF — Bear Case</t>
  </si>
  <si>
    <t>WACC 11.5%, TG 2.5% — high discount rate scenario</t>
  </si>
  <si>
    <t>DCF — Base Case</t>
  </si>
  <si>
    <t>WACC 9.7%, TG 4.0% — our central estimate</t>
  </si>
  <si>
    <t>DCF — Bull Case</t>
  </si>
  <si>
    <t>WACC 8.0%, TG 5.0% — high growth, low discount</t>
  </si>
  <si>
    <t>EV/NTM Revenue: 4.0x–6.5x peer range applied to SHOP NTM Rev</t>
  </si>
  <si>
    <t>EV/LTM Rev: 5x–14x transaction range — includes control premium</t>
  </si>
  <si>
    <t>52-Week Trading Range</t>
  </si>
  <si>
    <t>Source: NYSE, SHOP 52-week range March 2026</t>
  </si>
  <si>
    <t>NYSE, March 2026</t>
  </si>
  <si>
    <t>FOOTBALL FIELD CHART — Build in Excel using Insert → Bar Chart → Stacked Bar</t>
  </si>
  <si>
    <t>Step 1</t>
  </si>
  <si>
    <t>Select columns B:D (Methodology, Low, High) from rows 6–11</t>
  </si>
  <si>
    <t>Step 2</t>
  </si>
  <si>
    <t>Insert → Bar Chart → Stacked Horizontal Bar</t>
  </si>
  <si>
    <t>Step 3</t>
  </si>
  <si>
    <t>Set 'Low' series fill to white (invisible) — creates the floating bar effect</t>
  </si>
  <si>
    <t>Step 4</t>
  </si>
  <si>
    <t>Add a vertical line at $87.20 (current price) using secondary axis reference line</t>
  </si>
  <si>
    <t>Step 5</t>
  </si>
  <si>
    <t>Label each bar with the methodology name and price range</t>
  </si>
  <si>
    <t>CHART DATA — Used by chart below</t>
  </si>
  <si>
    <t>Base (invisible)</t>
  </si>
  <si>
    <t>Range Width</t>
  </si>
  <si>
    <t>INVESTMENT THESIS  |  Shopify Inc. (SHOP)  —  SELL  |  Blended Target: ~$51</t>
  </si>
  <si>
    <t>Analyst: Vatsal Chavda  |  Honours BCom (Finance), Seneca Polytechnic  |  March 2026</t>
  </si>
  <si>
    <t>EXECUTIVE SUMMARY</t>
  </si>
  <si>
    <t>We initiate coverage of Shopify Inc. (NYSE: SHOP) with a SELL rating and a blended 12-month price target of $51, representing 42% downside from the current market price of $87.20. While Shopify is unquestionably the leading commerce operating system for SMEs globally — with $9.2B in FY2024 revenue, 19.5% FCF margin, and a deeply embedded payment and logistics ecosystem — the current valuation of ~11x NTM revenue already prices in a near-perfect execution scenario that leaves limited margin of safety for investors.</t>
  </si>
  <si>
    <t>THREE PILLARS OF THE INVESTMENT THESIS</t>
  </si>
  <si>
    <t>1. Valuation Exceeds Fundamentals</t>
  </si>
  <si>
    <t>At 11x NTM Revenue, Shopify trades at a significant premium to its SaaS/commerce peers (median 4.4x). Our DCF base case (WACC 9.7%, TG 4.0%) implies an intrinsic value of ~$40, and even our bull case (WACC 8.0%, TG 5.0%) only supports ~$65–72. The stock requires sustained 20%+ revenue growth AND material margin expansion simultaneously to justify current prices — a scenario that historically materializes in fewer than 20% of high-growth SaaS companies at this stage.</t>
  </si>
  <si>
    <t>2. FCF Margin Expansion is Priced In</t>
  </si>
  <si>
    <t>Shopify's FCF margin improved dramatically from near-zero in FY2022 to 19.5% in FY2024 — a genuine positive. However, consensus already models FCF margins of 22–25% by FY2027. The easy gains from cost restructuring (workforce reduction, Deliverr exit) are behind us. Further expansion requires Shopify Payments take rate growth, which faces competition from Stripe and PayPal, and Shopify Capital scaling, which introduces credit risk in a potential recession environment.</t>
  </si>
  <si>
    <t>3. M&amp;A Risk — Klaviyo Acquisition Dilutive</t>
  </si>
  <si>
    <t>The proposed acquisition of Klaviyo at $8.4B (10.4x EV/Revenue) is strategically logical — Klaviyo's CRM/email platform would deepen Shopify's merchant data flywheel — but is dilutive on a Year 1 basis under our base case (-16%). Integration risk is material: Shopify's last major acquisition (Deliverr, $2.1B, 2022) was divested within 18 months at a significant loss. The market will likely penalize near-term EPS dilution before synergies are realized.</t>
  </si>
  <si>
    <t>KEY RISKS TO OUR SELL THESIS  (Upside Risks)</t>
  </si>
  <si>
    <t>GMV Acceleration</t>
  </si>
  <si>
    <t>Shopify's GMV grew 24% in FY2024 — if global e-commerce re-accelerates or Shopify gains disproportionate enterprise market share (Shopify Plus), revenue could meaningfully beat consensus and re-rate the stock higher.</t>
  </si>
  <si>
    <t>Payments Take Rate Expansion</t>
  </si>
  <si>
    <t>If Shopify Payments penetration reaches 65%+ (vs. ~58% today) and Shopify successfully launches financial products (Balance, Capital) internationally, blended take rates could expand faster than modelled — driving upside to our FCF estimates.</t>
  </si>
  <si>
    <t>AI Monetization</t>
  </si>
  <si>
    <t>Shopify Sidekick and AI-native storefront tools are early-stage but could create a new SaaS revenue layer. If monetized at $50–100/month per merchant across 2M+ merchants, this represents $1.2–2.4B in high-margin incremental revenue — not in our model.</t>
  </si>
  <si>
    <t>RE-RATING TRIGGER</t>
  </si>
  <si>
    <t>We would revisit our SELL rating and potentially upgrade to HOLD/BUY on a pullback to the $45–55 range (5.0–6.5x NTM Revenue), where the risk/reward becomes more balanced. Alternatively, if Shopify demonstrates FCF margins exceeding 22% for two consecutive quarters AND provides credible guidance for 25%+ sustained revenue growth, our DCF bull case of $65–72 would become the base case, warranting re-evaluation.</t>
  </si>
  <si>
    <t>Prepared by: Vatsal Chavda  |  Honours BCom (Finance), Seneca Polytechnic  |  January 2026  |  Independent Research</t>
  </si>
  <si>
    <t>DISCLAIMER: This analysis is an independent project prepared for educational purposes created by Vatsal Chavda . All financial data is sourced from public filings (Shopify 10-K/20-F, SEC EDGAR). This does not constitute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</si>
</sst>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0%"/>
    <numFmt numFmtId="166" formatCode="0.0\x"/>
    <numFmt numFmtId="167" formatCode="\$#,##0.0"/>
    <numFmt numFmtId="168" formatCode="\$#,##0.0;&quot;($&quot;#,##0.0\);\-"/>
    <numFmt numFmtId="169" formatCode="#,##0.0"/>
    <numFmt numFmtId="170" formatCode="0.00\x"/>
    <numFmt numFmtId="171" formatCode="0.0000"/>
    <numFmt numFmtId="172" formatCode="\$#,##0"/>
  </numFmts>
  <fonts count="21" x14ac:knownFonts="1">
    <font>
      <sz val="11"/>
      <color theme="1"/>
      <name val="Calibri"/>
      <family val="2"/>
      <charset val="1"/>
    </font>
    <font>
      <b/>
      <sz val="11"/>
      <color rgb="FFFFFFFF"/>
      <name val="Arial"/>
      <charset val="1"/>
    </font>
    <font>
      <b/>
      <sz val="10"/>
      <color rgb="FFFFFFFF"/>
      <name val="Arial"/>
      <charset val="1"/>
    </font>
    <font>
      <b/>
      <sz val="10"/>
      <color rgb="FF1A1A1A"/>
      <name val="Arial"/>
      <charset val="1"/>
    </font>
    <font>
      <sz val="10"/>
      <color rgb="FF1A1A1A"/>
      <name val="Arial"/>
      <charset val="1"/>
    </font>
    <font>
      <sz val="9"/>
      <color rgb="FF4A4A4A"/>
      <name val="Arial"/>
      <charset val="1"/>
    </font>
    <font>
      <sz val="10"/>
      <color rgb="FF008000"/>
      <name val="Arial"/>
      <charset val="1"/>
    </font>
    <font>
      <i/>
      <sz val="8"/>
      <color rgb="FF888888"/>
      <name val="Arial"/>
      <charset val="1"/>
    </font>
    <font>
      <sz val="10"/>
      <color rgb="FF0000FF"/>
      <name val="Arial"/>
      <charset val="1"/>
    </font>
    <font>
      <b/>
      <sz val="10"/>
      <color rgb="FF000000"/>
      <name val="Arial"/>
      <charset val="1"/>
    </font>
    <font>
      <sz val="10"/>
      <color rgb="FF000000"/>
      <name val="Arial"/>
      <charset val="1"/>
    </font>
    <font>
      <i/>
      <sz val="9"/>
      <color rgb="FF4A4A4A"/>
      <name val="Arial"/>
      <charset val="1"/>
    </font>
    <font>
      <b/>
      <sz val="10"/>
      <color rgb="FF008000"/>
      <name val="Arial"/>
      <charset val="1"/>
    </font>
    <font>
      <i/>
      <sz val="8"/>
      <color rgb="FF4A4A4A"/>
      <name val="Arial"/>
      <charset val="1"/>
    </font>
    <font>
      <b/>
      <sz val="10"/>
      <color rgb="FF0000FF"/>
      <name val="Arial"/>
      <charset val="1"/>
    </font>
    <font>
      <i/>
      <sz val="10"/>
      <color rgb="FF4A4A4A"/>
      <name val="Arial"/>
      <charset val="1"/>
    </font>
    <font>
      <sz val="9"/>
      <color rgb="FF1A1A1A"/>
      <name val="Arial"/>
      <charset val="1"/>
    </font>
    <font>
      <i/>
      <sz val="10"/>
      <color rgb="FF1A1A1A"/>
      <name val="Arial"/>
      <charset val="1"/>
    </font>
    <font>
      <i/>
      <sz val="8"/>
      <color rgb="FF888888"/>
      <name val="Arial"/>
      <family val="2"/>
    </font>
    <font>
      <b/>
      <sz val="10"/>
      <color rgb="FFFFFFFF"/>
      <name val="Arial"/>
      <family val="2"/>
    </font>
    <font>
      <b/>
      <sz val="10"/>
      <color theme="1"/>
      <name val="Arial"/>
      <family val="2"/>
    </font>
  </fonts>
  <fills count="12">
    <fill>
      <patternFill patternType="none"/>
    </fill>
    <fill>
      <patternFill patternType="gray125"/>
    </fill>
    <fill>
      <patternFill patternType="solid">
        <fgColor rgb="FF1B3A5C"/>
        <bgColor rgb="FF333399"/>
      </patternFill>
    </fill>
    <fill>
      <patternFill patternType="solid">
        <fgColor rgb="FF2E5F8A"/>
        <bgColor rgb="FF4A4A4A"/>
      </patternFill>
    </fill>
    <fill>
      <patternFill patternType="solid">
        <fgColor rgb="FFF7F7F7"/>
        <bgColor rgb="FFFFFFFF"/>
      </patternFill>
    </fill>
    <fill>
      <patternFill patternType="solid">
        <fgColor rgb="FFFFFFFF"/>
        <bgColor rgb="FFF7F7F7"/>
      </patternFill>
    </fill>
    <fill>
      <patternFill patternType="solid">
        <fgColor rgb="FFD6E4F0"/>
        <bgColor rgb="FFD9D9D9"/>
      </patternFill>
    </fill>
    <fill>
      <patternFill patternType="solid">
        <fgColor rgb="FFFFFDE7"/>
        <bgColor rgb="FFFFFFFF"/>
      </patternFill>
    </fill>
    <fill>
      <patternFill patternType="solid">
        <fgColor rgb="FFFFEBEE"/>
        <bgColor rgb="FFF7F7F7"/>
      </patternFill>
    </fill>
    <fill>
      <patternFill patternType="solid">
        <fgColor rgb="FFFFD700"/>
        <bgColor rgb="FFFFFF00"/>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rgb="FF1B3A5C"/>
      </left>
      <right/>
      <top style="thin">
        <color rgb="FF1B3A5C"/>
      </top>
      <bottom style="thin">
        <color rgb="FF1B3A5C"/>
      </bottom>
      <diagonal/>
    </border>
    <border>
      <left style="thin">
        <color rgb="FF2E5F8A"/>
      </left>
      <right/>
      <top style="thin">
        <color rgb="FF2E5F8A"/>
      </top>
      <bottom style="thin">
        <color rgb="FF2E5F8A"/>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diagonal/>
    </border>
    <border>
      <left style="thin">
        <color rgb="FF2E5F8A"/>
      </left>
      <right style="thin">
        <color rgb="FF2E5F8A"/>
      </right>
      <top style="thin">
        <color rgb="FF2E5F8A"/>
      </top>
      <bottom style="thin">
        <color rgb="FF2E5F8A"/>
      </bottom>
      <diagonal/>
    </border>
    <border>
      <left/>
      <right/>
      <top style="thin">
        <color rgb="FF2E5F8A"/>
      </top>
      <bottom style="thin">
        <color rgb="FF2E5F8A"/>
      </bottom>
      <diagonal/>
    </border>
    <border>
      <left style="thin">
        <color rgb="FFBDBDBD"/>
      </left>
      <right/>
      <top style="thin">
        <color rgb="FFBDBDBD"/>
      </top>
      <bottom style="thin">
        <color rgb="FFBDBDBD"/>
      </bottom>
      <diagonal/>
    </border>
    <border>
      <left style="thin">
        <color rgb="FFBDBDBD"/>
      </left>
      <right style="thin">
        <color rgb="FFBDBDBD"/>
      </right>
      <top/>
      <bottom style="thin">
        <color rgb="FFBDBDBD"/>
      </bottom>
      <diagonal/>
    </border>
    <border>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17" fillId="0" borderId="7" xfId="0" applyFont="1" applyBorder="1" applyAlignment="1">
      <alignment horizontal="left" vertical="top" wrapText="1" indent="1"/>
    </xf>
    <xf numFmtId="0" fontId="4" fillId="0" borderId="4" xfId="0" applyFont="1" applyBorder="1" applyAlignment="1">
      <alignment horizontal="left" vertical="top" wrapText="1" indent="1"/>
    </xf>
    <xf numFmtId="0" fontId="4" fillId="4" borderId="3" xfId="0" applyFont="1" applyFill="1" applyBorder="1" applyAlignment="1">
      <alignment horizontal="left" vertical="center" wrapText="1" indent="1"/>
    </xf>
    <xf numFmtId="0" fontId="4" fillId="5" borderId="3" xfId="0" applyFont="1" applyFill="1" applyBorder="1" applyAlignment="1">
      <alignment horizontal="left" vertical="center" wrapText="1" indent="1"/>
    </xf>
    <xf numFmtId="0" fontId="17" fillId="0" borderId="4" xfId="0" applyFont="1" applyBorder="1" applyAlignment="1">
      <alignment horizontal="left" vertical="top" wrapText="1" indent="1"/>
    </xf>
    <xf numFmtId="0" fontId="16" fillId="5" borderId="3" xfId="0" applyFont="1" applyFill="1" applyBorder="1" applyAlignment="1">
      <alignment horizontal="left" vertical="top" wrapText="1" indent="1"/>
    </xf>
    <xf numFmtId="0" fontId="7" fillId="5" borderId="3" xfId="0" applyFont="1" applyFill="1" applyBorder="1" applyAlignment="1">
      <alignment horizontal="left" vertical="center" wrapText="1" indent="1"/>
    </xf>
    <xf numFmtId="0" fontId="4" fillId="4" borderId="3" xfId="0" applyFont="1" applyFill="1" applyBorder="1" applyAlignment="1">
      <alignment horizontal="left" vertical="center" indent="1"/>
    </xf>
    <xf numFmtId="0" fontId="2" fillId="3" borderId="2" xfId="0" applyFont="1" applyFill="1" applyBorder="1" applyAlignment="1">
      <alignment horizontal="left" vertical="center" indent="1"/>
    </xf>
    <xf numFmtId="0" fontId="1" fillId="2" borderId="1" xfId="0" applyFont="1" applyFill="1" applyBorder="1" applyAlignment="1">
      <alignment horizontal="left" vertical="center" indent="1"/>
    </xf>
    <xf numFmtId="0" fontId="1" fillId="2" borderId="1" xfId="0" applyFont="1" applyFill="1" applyBorder="1" applyAlignment="1">
      <alignment horizontal="left" vertical="center" indent="1"/>
    </xf>
    <xf numFmtId="0" fontId="2" fillId="3" borderId="2" xfId="0" applyFont="1" applyFill="1" applyBorder="1" applyAlignment="1">
      <alignment horizontal="left" vertical="center" indent="1"/>
    </xf>
    <xf numFmtId="0" fontId="3" fillId="4" borderId="3" xfId="0" applyFont="1" applyFill="1" applyBorder="1" applyAlignment="1">
      <alignment horizontal="left" vertical="center" indent="1"/>
    </xf>
    <xf numFmtId="0" fontId="4" fillId="5" borderId="3" xfId="0" applyFont="1" applyFill="1" applyBorder="1" applyAlignment="1">
      <alignment horizontal="left" vertical="center" indent="1"/>
    </xf>
    <xf numFmtId="0" fontId="5" fillId="5" borderId="3" xfId="0" applyFont="1" applyFill="1" applyBorder="1" applyAlignment="1">
      <alignment horizontal="left" vertical="center" wrapText="1" indent="1"/>
    </xf>
    <xf numFmtId="164" fontId="6" fillId="6" borderId="3" xfId="0" applyNumberFormat="1" applyFont="1" applyFill="1" applyBorder="1" applyAlignment="1">
      <alignment horizontal="right" vertical="center"/>
    </xf>
    <xf numFmtId="165" fontId="6" fillId="6" borderId="3" xfId="0" applyNumberFormat="1" applyFont="1" applyFill="1" applyBorder="1" applyAlignment="1">
      <alignment horizontal="right" vertical="center"/>
    </xf>
    <xf numFmtId="49" fontId="6" fillId="6" borderId="3" xfId="0" applyNumberFormat="1" applyFont="1" applyFill="1" applyBorder="1" applyAlignment="1">
      <alignment horizontal="right" vertical="center"/>
    </xf>
    <xf numFmtId="166" fontId="6" fillId="6" borderId="3" xfId="0" applyNumberFormat="1" applyFont="1" applyFill="1" applyBorder="1" applyAlignment="1">
      <alignment horizontal="right" vertical="center"/>
    </xf>
    <xf numFmtId="167" fontId="6" fillId="6" borderId="3" xfId="0" applyNumberFormat="1" applyFont="1" applyFill="1" applyBorder="1" applyAlignment="1">
      <alignment horizontal="right" vertical="center"/>
    </xf>
    <xf numFmtId="0" fontId="2" fillId="3" borderId="5" xfId="0" applyFont="1" applyFill="1" applyBorder="1" applyAlignment="1">
      <alignment horizontal="center" vertical="center" wrapText="1"/>
    </xf>
    <xf numFmtId="0" fontId="4" fillId="4" borderId="3" xfId="0" applyFont="1" applyFill="1" applyBorder="1" applyAlignment="1">
      <alignment horizontal="left" vertical="center" indent="1"/>
    </xf>
    <xf numFmtId="168" fontId="8" fillId="7" borderId="3" xfId="0" applyNumberFormat="1" applyFont="1" applyFill="1" applyBorder="1" applyAlignment="1">
      <alignment horizontal="right" vertical="center"/>
    </xf>
    <xf numFmtId="0" fontId="7" fillId="5" borderId="3" xfId="0" applyFont="1" applyFill="1" applyBorder="1" applyAlignment="1">
      <alignment horizontal="left" vertical="center" wrapText="1" indent="1"/>
    </xf>
    <xf numFmtId="0" fontId="3" fillId="6" borderId="3" xfId="0" applyFont="1" applyFill="1" applyBorder="1" applyAlignment="1">
      <alignment horizontal="left" vertical="center" indent="1"/>
    </xf>
    <xf numFmtId="168" fontId="9" fillId="6" borderId="3" xfId="0" applyNumberFormat="1" applyFont="1" applyFill="1" applyBorder="1" applyAlignment="1">
      <alignment horizontal="right" vertical="center"/>
    </xf>
    <xf numFmtId="168" fontId="10" fillId="5" borderId="3" xfId="0" applyNumberFormat="1" applyFont="1" applyFill="1" applyBorder="1" applyAlignment="1">
      <alignment horizontal="right" vertical="center"/>
    </xf>
    <xf numFmtId="165" fontId="10" fillId="5" borderId="3" xfId="0" applyNumberFormat="1" applyFont="1" applyFill="1" applyBorder="1" applyAlignment="1">
      <alignment horizontal="right" vertical="center"/>
    </xf>
    <xf numFmtId="169" fontId="8" fillId="7" borderId="3" xfId="0" applyNumberFormat="1" applyFont="1" applyFill="1" applyBorder="1" applyAlignment="1">
      <alignment horizontal="right" vertical="center"/>
    </xf>
    <xf numFmtId="0" fontId="11" fillId="5" borderId="3" xfId="0" applyFont="1" applyFill="1" applyBorder="1" applyAlignment="1">
      <alignment horizontal="left" vertical="center" indent="1"/>
    </xf>
    <xf numFmtId="10" fontId="6" fillId="6" borderId="3" xfId="0" applyNumberFormat="1" applyFont="1" applyFill="1" applyBorder="1" applyAlignment="1">
      <alignment horizontal="right" vertical="center"/>
    </xf>
    <xf numFmtId="165" fontId="8" fillId="7" borderId="3" xfId="0" applyNumberFormat="1" applyFont="1" applyFill="1" applyBorder="1" applyAlignment="1">
      <alignment horizontal="right" vertical="center"/>
    </xf>
    <xf numFmtId="170" fontId="6" fillId="6" borderId="3" xfId="0" applyNumberFormat="1" applyFont="1" applyFill="1" applyBorder="1" applyAlignment="1">
      <alignment horizontal="right" vertical="center"/>
    </xf>
    <xf numFmtId="0" fontId="0" fillId="0" borderId="6" xfId="0" applyBorder="1"/>
    <xf numFmtId="164" fontId="8" fillId="7" borderId="3" xfId="0" applyNumberFormat="1" applyFont="1" applyFill="1" applyBorder="1" applyAlignment="1">
      <alignment horizontal="right" vertical="center"/>
    </xf>
    <xf numFmtId="0" fontId="4" fillId="4" borderId="7" xfId="0" applyFont="1" applyFill="1" applyBorder="1" applyAlignment="1">
      <alignment horizontal="left" vertical="center" indent="1"/>
    </xf>
    <xf numFmtId="167" fontId="8" fillId="7" borderId="3" xfId="0" applyNumberFormat="1" applyFont="1" applyFill="1" applyBorder="1" applyAlignment="1">
      <alignment horizontal="right" vertical="center"/>
    </xf>
    <xf numFmtId="10" fontId="10" fillId="5" borderId="3" xfId="0" applyNumberFormat="1" applyFont="1" applyFill="1" applyBorder="1" applyAlignment="1">
      <alignment horizontal="right" vertical="center"/>
    </xf>
    <xf numFmtId="10" fontId="8" fillId="7" borderId="3" xfId="0" applyNumberFormat="1" applyFont="1" applyFill="1" applyBorder="1" applyAlignment="1">
      <alignment horizontal="right" vertical="center"/>
    </xf>
    <xf numFmtId="170" fontId="8" fillId="7" borderId="3" xfId="0" applyNumberFormat="1" applyFont="1" applyFill="1" applyBorder="1" applyAlignment="1">
      <alignment horizontal="right" vertical="center"/>
    </xf>
    <xf numFmtId="10" fontId="9" fillId="6" borderId="3" xfId="0" applyNumberFormat="1" applyFont="1" applyFill="1" applyBorder="1" applyAlignment="1">
      <alignment horizontal="right" vertical="center"/>
    </xf>
    <xf numFmtId="168" fontId="12" fillId="6" borderId="3" xfId="0" applyNumberFormat="1" applyFont="1" applyFill="1" applyBorder="1" applyAlignment="1">
      <alignment horizontal="right" vertical="center"/>
    </xf>
    <xf numFmtId="168" fontId="9" fillId="5" borderId="3" xfId="0" applyNumberFormat="1" applyFont="1" applyFill="1" applyBorder="1" applyAlignment="1">
      <alignment horizontal="right" vertical="center"/>
    </xf>
    <xf numFmtId="1" fontId="10" fillId="5" borderId="3" xfId="0" applyNumberFormat="1" applyFont="1" applyFill="1" applyBorder="1" applyAlignment="1">
      <alignment horizontal="right" vertical="center"/>
    </xf>
    <xf numFmtId="171" fontId="10" fillId="5" borderId="3" xfId="0" applyNumberFormat="1" applyFont="1" applyFill="1" applyBorder="1" applyAlignment="1">
      <alignment horizontal="right" vertical="center"/>
    </xf>
    <xf numFmtId="168" fontId="10" fillId="7" borderId="3" xfId="0" applyNumberFormat="1" applyFont="1" applyFill="1" applyBorder="1" applyAlignment="1">
      <alignment horizontal="right" vertical="center"/>
    </xf>
    <xf numFmtId="0" fontId="13" fillId="5" borderId="3" xfId="0" applyFont="1" applyFill="1" applyBorder="1" applyAlignment="1">
      <alignment horizontal="left" vertical="center" wrapText="1" indent="1"/>
    </xf>
    <xf numFmtId="164" fontId="9" fillId="6" borderId="3" xfId="0" applyNumberFormat="1" applyFont="1" applyFill="1" applyBorder="1" applyAlignment="1">
      <alignment horizontal="right" vertical="center"/>
    </xf>
    <xf numFmtId="164" fontId="10" fillId="5" borderId="3" xfId="0" applyNumberFormat="1" applyFont="1" applyFill="1" applyBorder="1" applyAlignment="1">
      <alignment horizontal="right" vertical="center"/>
    </xf>
    <xf numFmtId="165" fontId="9" fillId="6" borderId="3" xfId="0" applyNumberFormat="1" applyFont="1" applyFill="1" applyBorder="1" applyAlignment="1">
      <alignment horizontal="right" vertical="center"/>
    </xf>
    <xf numFmtId="0" fontId="3" fillId="6" borderId="3" xfId="0" applyFont="1" applyFill="1" applyBorder="1" applyAlignment="1">
      <alignment horizontal="center" vertical="center"/>
    </xf>
    <xf numFmtId="166" fontId="9" fillId="6" borderId="3" xfId="0" applyNumberFormat="1" applyFont="1" applyFill="1" applyBorder="1" applyAlignment="1">
      <alignment horizontal="right" vertical="center"/>
    </xf>
    <xf numFmtId="165" fontId="14" fillId="6" borderId="3" xfId="0" applyNumberFormat="1" applyFont="1" applyFill="1" applyBorder="1" applyAlignment="1">
      <alignment horizontal="right" vertical="center"/>
    </xf>
    <xf numFmtId="0" fontId="4" fillId="4" borderId="3" xfId="0" applyFont="1" applyFill="1" applyBorder="1" applyAlignment="1">
      <alignment horizontal="center" vertical="center"/>
    </xf>
    <xf numFmtId="166" fontId="10" fillId="5" borderId="3" xfId="0" applyNumberFormat="1" applyFont="1" applyFill="1" applyBorder="1" applyAlignment="1">
      <alignment horizontal="right" vertical="center"/>
    </xf>
    <xf numFmtId="49" fontId="15" fillId="5" borderId="3" xfId="0" applyNumberFormat="1" applyFont="1" applyFill="1" applyBorder="1" applyAlignment="1">
      <alignment horizontal="center" vertical="center"/>
    </xf>
    <xf numFmtId="168" fontId="6" fillId="6" borderId="3" xfId="0" applyNumberFormat="1" applyFont="1" applyFill="1" applyBorder="1" applyAlignment="1">
      <alignment horizontal="right" vertical="center"/>
    </xf>
    <xf numFmtId="164" fontId="12" fillId="6" borderId="3" xfId="0" applyNumberFormat="1" applyFont="1" applyFill="1" applyBorder="1" applyAlignment="1">
      <alignment horizontal="right" vertical="center"/>
    </xf>
    <xf numFmtId="49" fontId="4" fillId="4" borderId="3" xfId="0" applyNumberFormat="1" applyFont="1" applyFill="1" applyBorder="1" applyAlignment="1">
      <alignment horizontal="left" vertical="center" indent="1"/>
    </xf>
    <xf numFmtId="1" fontId="8" fillId="7" borderId="3" xfId="0" applyNumberFormat="1" applyFont="1" applyFill="1" applyBorder="1" applyAlignment="1">
      <alignment horizontal="center" vertical="center"/>
    </xf>
    <xf numFmtId="0" fontId="11" fillId="5" borderId="3" xfId="0" applyFont="1" applyFill="1" applyBorder="1" applyAlignment="1">
      <alignment horizontal="left" vertical="center" wrapText="1" indent="1"/>
    </xf>
    <xf numFmtId="169" fontId="10" fillId="5" borderId="3" xfId="0" applyNumberFormat="1" applyFont="1" applyFill="1" applyBorder="1" applyAlignment="1">
      <alignment horizontal="right" vertical="center"/>
    </xf>
    <xf numFmtId="166" fontId="8" fillId="7" borderId="3" xfId="0" applyNumberFormat="1" applyFont="1" applyFill="1" applyBorder="1" applyAlignment="1">
      <alignment horizontal="right" vertical="center"/>
    </xf>
    <xf numFmtId="49" fontId="1" fillId="2" borderId="3" xfId="0" applyNumberFormat="1" applyFont="1" applyFill="1" applyBorder="1" applyAlignment="1">
      <alignment horizontal="center" vertical="center"/>
    </xf>
    <xf numFmtId="164" fontId="6" fillId="5" borderId="3" xfId="0" applyNumberFormat="1" applyFont="1" applyFill="1" applyBorder="1" applyAlignment="1">
      <alignment horizontal="right" vertical="center"/>
    </xf>
    <xf numFmtId="165" fontId="12" fillId="6" borderId="3" xfId="0" applyNumberFormat="1" applyFont="1" applyFill="1" applyBorder="1" applyAlignment="1">
      <alignment horizontal="right" vertical="center"/>
    </xf>
    <xf numFmtId="0" fontId="9" fillId="6" borderId="3" xfId="0" applyFont="1" applyFill="1" applyBorder="1" applyAlignment="1">
      <alignment horizontal="center" vertical="center"/>
    </xf>
    <xf numFmtId="0" fontId="3" fillId="8" borderId="3" xfId="0" applyFont="1" applyFill="1" applyBorder="1" applyAlignment="1">
      <alignment horizontal="left" vertical="center" indent="1"/>
    </xf>
    <xf numFmtId="0" fontId="2" fillId="3" borderId="3" xfId="0" applyFont="1" applyFill="1" applyBorder="1" applyAlignment="1">
      <alignment horizontal="left" vertical="center" indent="1"/>
    </xf>
    <xf numFmtId="165" fontId="2" fillId="3" borderId="3" xfId="0" applyNumberFormat="1" applyFont="1" applyFill="1" applyBorder="1" applyAlignment="1">
      <alignment horizontal="center" vertical="center"/>
    </xf>
    <xf numFmtId="165" fontId="3" fillId="4" borderId="3" xfId="0" applyNumberFormat="1" applyFont="1" applyFill="1" applyBorder="1" applyAlignment="1">
      <alignment horizontal="center" vertical="center"/>
    </xf>
    <xf numFmtId="164" fontId="10" fillId="4" borderId="3" xfId="0" applyNumberFormat="1" applyFont="1" applyFill="1" applyBorder="1" applyAlignment="1">
      <alignment horizontal="right" vertical="center"/>
    </xf>
    <xf numFmtId="164" fontId="9" fillId="9" borderId="3" xfId="0" applyNumberFormat="1" applyFont="1" applyFill="1" applyBorder="1" applyAlignment="1">
      <alignment horizontal="right" vertical="center"/>
    </xf>
    <xf numFmtId="0" fontId="11" fillId="6" borderId="3" xfId="0" applyFont="1" applyFill="1" applyBorder="1" applyAlignment="1">
      <alignment horizontal="left" vertical="center" indent="1"/>
    </xf>
    <xf numFmtId="172" fontId="8" fillId="7" borderId="3" xfId="0" applyNumberFormat="1" applyFont="1" applyFill="1" applyBorder="1" applyAlignment="1">
      <alignment horizontal="right" vertical="center"/>
    </xf>
    <xf numFmtId="172" fontId="10" fillId="5" borderId="3" xfId="0" applyNumberFormat="1" applyFont="1" applyFill="1" applyBorder="1" applyAlignment="1">
      <alignment horizontal="right" vertical="center"/>
    </xf>
    <xf numFmtId="0" fontId="4" fillId="5" borderId="3" xfId="0" applyFont="1" applyFill="1" applyBorder="1" applyAlignment="1">
      <alignment horizontal="left" vertical="top" wrapText="1" indent="1"/>
    </xf>
    <xf numFmtId="17" fontId="4" fillId="5" borderId="3" xfId="0" applyNumberFormat="1" applyFont="1" applyFill="1" applyBorder="1" applyAlignment="1">
      <alignment horizontal="left" vertical="center" indent="1"/>
    </xf>
    <xf numFmtId="0" fontId="18" fillId="5" borderId="3" xfId="0" applyFont="1" applyFill="1" applyBorder="1" applyAlignment="1">
      <alignment horizontal="left" vertical="center" wrapText="1" indent="1"/>
    </xf>
    <xf numFmtId="164" fontId="8" fillId="7" borderId="8" xfId="0" applyNumberFormat="1" applyFont="1" applyFill="1" applyBorder="1" applyAlignment="1">
      <alignment horizontal="right" vertical="center"/>
    </xf>
    <xf numFmtId="0" fontId="0" fillId="0" borderId="0" xfId="0" applyBorder="1"/>
    <xf numFmtId="0" fontId="0" fillId="10" borderId="9" xfId="0" applyFill="1" applyBorder="1"/>
    <xf numFmtId="0" fontId="19" fillId="3" borderId="2" xfId="0" applyFont="1" applyFill="1" applyBorder="1" applyAlignment="1">
      <alignment horizontal="left" vertical="center" indent="1"/>
    </xf>
    <xf numFmtId="0" fontId="20" fillId="11" borderId="4"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88888"/>
      <rgbColor rgb="FF9999FF"/>
      <rgbColor rgb="FF993366"/>
      <rgbColor rgb="FFFFFDE7"/>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7F7F7"/>
      <rgbColor rgb="FFCCFFCC"/>
      <rgbColor rgb="FFFFEBEE"/>
      <rgbColor rgb="FF99CCFF"/>
      <rgbColor rgb="FFFF99CC"/>
      <rgbColor rgb="FFCC99FF"/>
      <rgbColor rgb="FFFFCC99"/>
      <rgbColor rgb="FF3366FF"/>
      <rgbColor rgb="FF33CCCC"/>
      <rgbColor rgb="FF99CC00"/>
      <rgbColor rgb="FFFFD700"/>
      <rgbColor rgb="FFFF9900"/>
      <rgbColor rgb="FFFF6600"/>
      <rgbColor rgb="FF2E5F8A"/>
      <rgbColor rgb="FFB3B3B3"/>
      <rgbColor rgb="FF1B3A5C"/>
      <rgbColor rgb="FF339966"/>
      <rgbColor rgb="FF003300"/>
      <rgbColor rgb="FF1A1A1A"/>
      <rgbColor rgb="FF993300"/>
      <rgbColor rgb="FF993366"/>
      <rgbColor rgb="FF333399"/>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Football Field — Shopify Implied Share Price Range</a:t>
            </a:r>
          </a:p>
        </c:rich>
      </c:tx>
      <c:overlay val="0"/>
      <c:spPr>
        <a:noFill/>
        <a:ln w="0">
          <a:noFill/>
        </a:ln>
      </c:spPr>
    </c:title>
    <c:autoTitleDeleted val="0"/>
    <c:plotArea>
      <c:layout/>
      <c:barChart>
        <c:barDir val="bar"/>
        <c:grouping val="stacked"/>
        <c:varyColors val="0"/>
        <c:ser>
          <c:idx val="0"/>
          <c:order val="0"/>
          <c:tx>
            <c:v>Base (invisible)</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'Football Field'!$B$24:$B$29</c:f>
              <c:strCache>
                <c:ptCount val="6"/>
                <c:pt idx="0">
                  <c:v>DCF — Bear Case</c:v>
                </c:pt>
                <c:pt idx="1">
                  <c:v>DCF — Base Case</c:v>
                </c:pt>
                <c:pt idx="2">
                  <c:v>DCF — Bull Case</c:v>
                </c:pt>
                <c:pt idx="3">
                  <c:v>Comparable Companies</c:v>
                </c:pt>
                <c:pt idx="4">
                  <c:v>Precedent Transactions</c:v>
                </c:pt>
                <c:pt idx="5">
                  <c:v>52-Week Trading Range</c:v>
                </c:pt>
              </c:strCache>
            </c:strRef>
          </c:cat>
          <c:val>
            <c:numRef>
              <c:f>'Football Field'!$C$23:$C$29</c:f>
              <c:numCache>
                <c:formatCode>\$#,##0</c:formatCode>
                <c:ptCount val="7"/>
                <c:pt idx="0" formatCode="General">
                  <c:v>0</c:v>
                </c:pt>
                <c:pt idx="1">
                  <c:v>22</c:v>
                </c:pt>
                <c:pt idx="2">
                  <c:v>38</c:v>
                </c:pt>
                <c:pt idx="3">
                  <c:v>55</c:v>
                </c:pt>
                <c:pt idx="4">
                  <c:v>38</c:v>
                </c:pt>
                <c:pt idx="5">
                  <c:v>65</c:v>
                </c:pt>
                <c:pt idx="6">
                  <c:v>56</c:v>
                </c:pt>
              </c:numCache>
            </c:numRef>
          </c:val>
          <c:extLst>
            <c:ext xmlns:c16="http://schemas.microsoft.com/office/drawing/2014/chart" uri="{C3380CC4-5D6E-409C-BE32-E72D297353CC}">
              <c16:uniqueId val="{00000000-3098-BA42-B0C0-3B6A51391689}"/>
            </c:ext>
          </c:extLst>
        </c:ser>
        <c:ser>
          <c:idx val="1"/>
          <c:order val="1"/>
          <c:tx>
            <c:v>Valuation Range</c:v>
          </c:tx>
          <c:spPr>
            <a:solidFill>
              <a:srgbClr val="2E5F8A"/>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'Football Field'!$B$24:$B$29</c:f>
              <c:strCache>
                <c:ptCount val="6"/>
                <c:pt idx="0">
                  <c:v>DCF — Bear Case</c:v>
                </c:pt>
                <c:pt idx="1">
                  <c:v>DCF — Base Case</c:v>
                </c:pt>
                <c:pt idx="2">
                  <c:v>DCF — Bull Case</c:v>
                </c:pt>
                <c:pt idx="3">
                  <c:v>Comparable Companies</c:v>
                </c:pt>
                <c:pt idx="4">
                  <c:v>Precedent Transactions</c:v>
                </c:pt>
                <c:pt idx="5">
                  <c:v>52-Week Trading Range</c:v>
                </c:pt>
              </c:strCache>
            </c:strRef>
          </c:cat>
          <c:val>
            <c:numRef>
              <c:f>'Football Field'!$D$23:$D$29</c:f>
              <c:numCache>
                <c:formatCode>\$#,##0</c:formatCode>
                <c:ptCount val="7"/>
                <c:pt idx="0" formatCode="General">
                  <c:v>0</c:v>
                </c:pt>
                <c:pt idx="1">
                  <c:v>13</c:v>
                </c:pt>
                <c:pt idx="2">
                  <c:v>7</c:v>
                </c:pt>
                <c:pt idx="3">
                  <c:v>17</c:v>
                </c:pt>
                <c:pt idx="4">
                  <c:v>20</c:v>
                </c:pt>
                <c:pt idx="5">
                  <c:v>45</c:v>
                </c:pt>
                <c:pt idx="6">
                  <c:v>43</c:v>
                </c:pt>
              </c:numCache>
            </c:numRef>
          </c:val>
          <c:extLst>
            <c:ext xmlns:c16="http://schemas.microsoft.com/office/drawing/2014/chart" uri="{C3380CC4-5D6E-409C-BE32-E72D297353CC}">
              <c16:uniqueId val="{00000001-3098-BA42-B0C0-3B6A51391689}"/>
            </c:ext>
          </c:extLst>
        </c:ser>
        <c:dLbls>
          <c:showLegendKey val="0"/>
          <c:showVal val="0"/>
          <c:showCatName val="0"/>
          <c:showSerName val="0"/>
          <c:showPercent val="0"/>
          <c:showBubbleSize val="0"/>
        </c:dLbls>
        <c:gapWidth val="150"/>
        <c:overlap val="100"/>
        <c:axId val="32143035"/>
        <c:axId val="2487242"/>
      </c:barChart>
      <c:catAx>
        <c:axId val="32143035"/>
        <c:scaling>
          <c:orientation val="minMax"/>
        </c:scaling>
        <c:delete val="0"/>
        <c:axPos val="l"/>
        <c:title>
          <c:tx>
            <c:rich>
              <a:bodyPr rot="-5400000"/>
              <a:lstStyle/>
              <a:p>
                <a:pPr>
                  <a:defRPr sz="1000" b="1" strike="noStrike" spc="-1">
                    <a:solidFill>
                      <a:srgbClr val="000000"/>
                    </a:solidFill>
                    <a:latin typeface="Calibri"/>
                  </a:defRPr>
                </a:pPr>
                <a:r>
                  <a:rPr lang="en-CA" sz="1000" b="1" strike="noStrike" spc="-1">
                    <a:solidFill>
                      <a:srgbClr val="000000"/>
                    </a:solidFill>
                    <a:latin typeface="Calibri"/>
                  </a:rPr>
                  <a:t>Implied Share Price (USD)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487242"/>
        <c:crosses val="autoZero"/>
        <c:auto val="1"/>
        <c:lblAlgn val="ctr"/>
        <c:lblOffset val="100"/>
        <c:noMultiLvlLbl val="0"/>
      </c:catAx>
      <c:valAx>
        <c:axId val="2487242"/>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lang="en-CA" sz="1000" b="1" strike="noStrike" spc="-1">
                    <a:solidFill>
                      <a:srgbClr val="000000"/>
                    </a:solidFill>
                    <a:latin typeface="Calibri"/>
                  </a:rPr>
                  <a:t>Valuation Methodology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21430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4</xdr:col>
      <xdr:colOff>3473640</xdr:colOff>
      <xdr:row>52</xdr:row>
      <xdr:rowOff>127080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2"/>
  <sheetViews>
    <sheetView showGridLines="0" tabSelected="1" zoomScale="103" zoomScaleNormal="100" workbookViewId="0">
      <selection activeCell="B18" sqref="B18"/>
    </sheetView>
  </sheetViews>
  <sheetFormatPr baseColWidth="10" defaultColWidth="8.6640625" defaultRowHeight="15" x14ac:dyDescent="0.2"/>
  <cols>
    <col min="1" max="1" width="3" customWidth="1"/>
    <col min="2" max="2" width="32" customWidth="1"/>
    <col min="3" max="3" width="32.5" customWidth="1"/>
    <col min="4" max="4" width="36.5" customWidth="1"/>
    <col min="5" max="5" width="3" customWidth="1"/>
  </cols>
  <sheetData>
    <row r="1" spans="2:4" ht="25.5" customHeight="1" x14ac:dyDescent="0.2">
      <c r="B1" s="10" t="s">
        <v>0</v>
      </c>
      <c r="C1" s="10"/>
      <c r="D1" s="10"/>
    </row>
    <row r="2" spans="2:4" ht="16.5" customHeight="1" x14ac:dyDescent="0.2">
      <c r="B2" s="83" t="s">
        <v>507</v>
      </c>
      <c r="C2" s="9"/>
      <c r="D2" s="9"/>
    </row>
    <row r="3" spans="2:4" ht="9.75" customHeight="1" x14ac:dyDescent="0.2"/>
    <row r="4" spans="2:4" ht="16.5" customHeight="1" x14ac:dyDescent="0.2">
      <c r="B4" s="9" t="s">
        <v>1</v>
      </c>
      <c r="C4" s="9"/>
      <c r="D4" s="9"/>
    </row>
    <row r="5" spans="2:4" ht="16.5" customHeight="1" x14ac:dyDescent="0.2">
      <c r="B5" s="13" t="s">
        <v>2</v>
      </c>
      <c r="C5" s="14" t="s">
        <v>3</v>
      </c>
    </row>
    <row r="6" spans="2:4" ht="16.5" customHeight="1" x14ac:dyDescent="0.2">
      <c r="B6" s="13" t="s">
        <v>4</v>
      </c>
      <c r="C6" s="14" t="s">
        <v>5</v>
      </c>
    </row>
    <row r="7" spans="2:4" ht="16.5" customHeight="1" x14ac:dyDescent="0.2">
      <c r="B7" s="13" t="s">
        <v>6</v>
      </c>
      <c r="C7" s="14" t="s">
        <v>7</v>
      </c>
    </row>
    <row r="8" spans="2:4" ht="16.5" customHeight="1" x14ac:dyDescent="0.2">
      <c r="B8" s="13" t="s">
        <v>8</v>
      </c>
      <c r="C8" s="14" t="s">
        <v>9</v>
      </c>
    </row>
    <row r="9" spans="2:4" ht="16.5" customHeight="1" x14ac:dyDescent="0.2">
      <c r="B9" s="13" t="s">
        <v>10</v>
      </c>
      <c r="C9" s="14" t="s">
        <v>11</v>
      </c>
    </row>
    <row r="10" spans="2:4" ht="16.5" customHeight="1" x14ac:dyDescent="0.2">
      <c r="B10" s="13" t="s">
        <v>12</v>
      </c>
      <c r="C10" s="78">
        <v>46082</v>
      </c>
    </row>
    <row r="11" spans="2:4" ht="16.5" customHeight="1" x14ac:dyDescent="0.2">
      <c r="B11" s="13" t="s">
        <v>13</v>
      </c>
      <c r="C11" s="14" t="s">
        <v>14</v>
      </c>
    </row>
    <row r="12" spans="2:4" ht="9.75" customHeight="1" x14ac:dyDescent="0.2"/>
    <row r="13" spans="2:4" ht="16.5" customHeight="1" x14ac:dyDescent="0.2">
      <c r="B13" s="9" t="s">
        <v>15</v>
      </c>
      <c r="C13" s="9"/>
      <c r="D13" s="9"/>
    </row>
    <row r="14" spans="2:4" ht="32" customHeight="1" x14ac:dyDescent="0.2">
      <c r="B14" s="13" t="s">
        <v>16</v>
      </c>
      <c r="C14" s="15" t="s">
        <v>17</v>
      </c>
    </row>
    <row r="15" spans="2:4" ht="31" customHeight="1" x14ac:dyDescent="0.2">
      <c r="B15" s="13" t="s">
        <v>18</v>
      </c>
      <c r="C15" s="15" t="s">
        <v>19</v>
      </c>
    </row>
    <row r="16" spans="2:4" ht="36" customHeight="1" x14ac:dyDescent="0.2">
      <c r="B16" s="13" t="s">
        <v>20</v>
      </c>
      <c r="C16" s="15" t="s">
        <v>21</v>
      </c>
    </row>
    <row r="17" spans="2:4" ht="25" customHeight="1" x14ac:dyDescent="0.2">
      <c r="B17" s="13" t="s">
        <v>22</v>
      </c>
      <c r="C17" s="15" t="s">
        <v>23</v>
      </c>
    </row>
    <row r="18" spans="2:4" ht="30" customHeight="1" x14ac:dyDescent="0.2">
      <c r="B18" s="13" t="s">
        <v>24</v>
      </c>
      <c r="C18" s="15" t="s">
        <v>25</v>
      </c>
    </row>
    <row r="19" spans="2:4" ht="30" customHeight="1" x14ac:dyDescent="0.2">
      <c r="B19" s="13" t="s">
        <v>26</v>
      </c>
      <c r="C19" s="15" t="s">
        <v>27</v>
      </c>
    </row>
    <row r="20" spans="2:4" ht="27" customHeight="1" x14ac:dyDescent="0.2">
      <c r="B20" s="13" t="s">
        <v>28</v>
      </c>
      <c r="C20" s="15" t="s">
        <v>29</v>
      </c>
    </row>
    <row r="21" spans="2:4" ht="9.75" customHeight="1" x14ac:dyDescent="0.2"/>
    <row r="22" spans="2:4" ht="16.5" customHeight="1" x14ac:dyDescent="0.2">
      <c r="B22" s="9" t="s">
        <v>30</v>
      </c>
      <c r="C22" s="9"/>
      <c r="D22" s="9"/>
    </row>
    <row r="23" spans="2:4" ht="16.5" customHeight="1" x14ac:dyDescent="0.2">
      <c r="B23" s="13" t="s">
        <v>31</v>
      </c>
      <c r="C23" s="16">
        <f>'DCF Model'!C77</f>
        <v>36.808000200949849</v>
      </c>
    </row>
    <row r="24" spans="2:4" ht="16.5" customHeight="1" x14ac:dyDescent="0.2">
      <c r="B24" s="13" t="s">
        <v>32</v>
      </c>
      <c r="C24" s="16">
        <f>'DCF Model'!C78</f>
        <v>87.2</v>
      </c>
    </row>
    <row r="25" spans="2:4" ht="16.5" customHeight="1" x14ac:dyDescent="0.2">
      <c r="B25" s="13" t="s">
        <v>33</v>
      </c>
      <c r="C25" s="17">
        <f>'DCF Model'!C79</f>
        <v>-0.57788990595241008</v>
      </c>
    </row>
    <row r="26" spans="2:4" ht="16.5" customHeight="1" x14ac:dyDescent="0.2">
      <c r="B26" s="13" t="s">
        <v>34</v>
      </c>
      <c r="C26" s="18" t="str">
        <f>'Inv. Summary'!C5</f>
        <v>SELL</v>
      </c>
    </row>
    <row r="27" spans="2:4" ht="16.5" customHeight="1" x14ac:dyDescent="0.2">
      <c r="B27" s="13" t="s">
        <v>35</v>
      </c>
      <c r="C27" s="19">
        <f>Comps!E17</f>
        <v>4.382022471910112</v>
      </c>
    </row>
    <row r="28" spans="2:4" ht="16.5" customHeight="1" x14ac:dyDescent="0.2">
      <c r="B28" s="13" t="s">
        <v>36</v>
      </c>
      <c r="C28" s="20">
        <f>Comps!E22</f>
        <v>49786.392134831454</v>
      </c>
    </row>
    <row r="29" spans="2:4" ht="16.5" customHeight="1" x14ac:dyDescent="0.2">
      <c r="B29" s="13" t="s">
        <v>37</v>
      </c>
      <c r="C29" s="17">
        <f>'M&amp;A Analysis'!C42</f>
        <v>-0.162192367601246</v>
      </c>
    </row>
    <row r="30" spans="2:4" ht="9.75" customHeight="1" x14ac:dyDescent="0.2"/>
    <row r="31" spans="2:4" ht="30" customHeight="1" x14ac:dyDescent="0.2">
      <c r="B31" s="84" t="s">
        <v>508</v>
      </c>
      <c r="C31" s="84"/>
      <c r="D31" s="84"/>
    </row>
    <row r="32" spans="2:4" ht="15" customHeight="1" x14ac:dyDescent="0.2">
      <c r="B32" s="84"/>
      <c r="C32" s="84"/>
      <c r="D32" s="84"/>
    </row>
  </sheetData>
  <mergeCells count="6">
    <mergeCell ref="B31:D32"/>
    <mergeCell ref="B1:D1"/>
    <mergeCell ref="B2:D2"/>
    <mergeCell ref="B4:D4"/>
    <mergeCell ref="B13:D13"/>
    <mergeCell ref="B22:D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7"/>
  <sheetViews>
    <sheetView showGridLines="0" zoomScale="84" zoomScaleNormal="100" workbookViewId="0">
      <selection activeCell="B2" sqref="B2:F2"/>
    </sheetView>
  </sheetViews>
  <sheetFormatPr baseColWidth="10" defaultColWidth="8.6640625" defaultRowHeight="15" x14ac:dyDescent="0.2"/>
  <cols>
    <col min="1" max="1" width="3" customWidth="1"/>
    <col min="2" max="2" width="36" customWidth="1"/>
    <col min="3" max="5" width="14" customWidth="1"/>
    <col min="6" max="6" width="29.5" customWidth="1"/>
    <col min="7" max="7" width="3" customWidth="1"/>
    <col min="8" max="8" width="42" customWidth="1"/>
  </cols>
  <sheetData>
    <row r="1" spans="2:8" ht="19.5" customHeight="1" x14ac:dyDescent="0.2">
      <c r="B1" s="10" t="s">
        <v>38</v>
      </c>
      <c r="C1" s="10"/>
      <c r="D1" s="10"/>
      <c r="E1" s="10"/>
      <c r="F1" s="10"/>
    </row>
    <row r="2" spans="2:8" ht="16.5" customHeight="1" x14ac:dyDescent="0.2">
      <c r="B2" s="9" t="s">
        <v>39</v>
      </c>
      <c r="C2" s="9"/>
      <c r="D2" s="9"/>
      <c r="E2" s="9"/>
      <c r="F2" s="9"/>
    </row>
    <row r="3" spans="2:8" ht="7.5" customHeight="1" x14ac:dyDescent="0.2"/>
    <row r="4" spans="2:8" ht="18" customHeight="1" x14ac:dyDescent="0.2">
      <c r="B4" s="21" t="s">
        <v>40</v>
      </c>
      <c r="C4" s="21" t="s">
        <v>41</v>
      </c>
      <c r="D4" s="21" t="s">
        <v>42</v>
      </c>
      <c r="E4" s="21" t="s">
        <v>43</v>
      </c>
      <c r="F4" s="21" t="s">
        <v>44</v>
      </c>
    </row>
    <row r="5" spans="2:8" ht="16.5" customHeight="1" x14ac:dyDescent="0.2">
      <c r="B5" s="9" t="s">
        <v>45</v>
      </c>
      <c r="C5" s="9"/>
      <c r="D5" s="9"/>
      <c r="E5" s="9"/>
      <c r="F5" s="9"/>
    </row>
    <row r="6" spans="2:8" ht="25.5" customHeight="1" x14ac:dyDescent="0.2">
      <c r="B6" s="22" t="s">
        <v>46</v>
      </c>
      <c r="C6" s="23">
        <v>2568.8000000000002</v>
      </c>
      <c r="D6" s="23">
        <v>3909.7</v>
      </c>
      <c r="E6" s="23">
        <v>5155.6000000000004</v>
      </c>
      <c r="F6" s="23">
        <v>7069</v>
      </c>
      <c r="H6" s="79" t="s">
        <v>47</v>
      </c>
    </row>
    <row r="7" spans="2:8" ht="25.5" customHeight="1" x14ac:dyDescent="0.2">
      <c r="B7" s="22" t="s">
        <v>48</v>
      </c>
      <c r="C7" s="23">
        <v>886</v>
      </c>
      <c r="D7" s="23">
        <v>1077.5</v>
      </c>
      <c r="E7" s="23">
        <v>1479.9</v>
      </c>
      <c r="F7" s="23">
        <v>2168</v>
      </c>
      <c r="H7" s="24" t="s">
        <v>49</v>
      </c>
    </row>
    <row r="8" spans="2:8" ht="25.5" customHeight="1" x14ac:dyDescent="0.2">
      <c r="B8" s="25" t="s">
        <v>50</v>
      </c>
      <c r="C8" s="26">
        <f>C6+C7</f>
        <v>3454.8</v>
      </c>
      <c r="D8" s="26">
        <f>D6+D7</f>
        <v>4987.2</v>
      </c>
      <c r="E8" s="26">
        <f>E6+E7</f>
        <v>6635.5</v>
      </c>
      <c r="F8" s="26">
        <f>F6+F7</f>
        <v>9237</v>
      </c>
      <c r="H8" s="24" t="s">
        <v>51</v>
      </c>
    </row>
    <row r="9" spans="2:8" ht="25.5" customHeight="1" x14ac:dyDescent="0.2">
      <c r="B9" s="22" t="s">
        <v>52</v>
      </c>
      <c r="C9" s="23">
        <v>1717</v>
      </c>
      <c r="D9" s="23">
        <v>2685.4</v>
      </c>
      <c r="E9" s="23">
        <v>3484.6</v>
      </c>
      <c r="F9" s="23">
        <v>4651</v>
      </c>
      <c r="H9" s="24" t="s">
        <v>53</v>
      </c>
    </row>
    <row r="10" spans="2:8" ht="25.5" customHeight="1" x14ac:dyDescent="0.2">
      <c r="B10" s="22" t="s">
        <v>54</v>
      </c>
      <c r="C10" s="23">
        <v>167.4</v>
      </c>
      <c r="D10" s="23">
        <v>224.5</v>
      </c>
      <c r="E10" s="23">
        <v>276.39999999999998</v>
      </c>
      <c r="F10" s="23">
        <v>378</v>
      </c>
      <c r="H10" s="24" t="s">
        <v>55</v>
      </c>
    </row>
    <row r="11" spans="2:8" ht="25.5" customHeight="1" x14ac:dyDescent="0.2">
      <c r="B11" s="22" t="s">
        <v>56</v>
      </c>
      <c r="C11" s="27">
        <f>C9+C10</f>
        <v>1884.4</v>
      </c>
      <c r="D11" s="27">
        <f>D9+D10</f>
        <v>2909.9</v>
      </c>
      <c r="E11" s="27">
        <f>E9+E10</f>
        <v>3761</v>
      </c>
      <c r="F11" s="27">
        <f>F9+F10</f>
        <v>5029</v>
      </c>
      <c r="H11" s="24" t="s">
        <v>51</v>
      </c>
    </row>
    <row r="12" spans="2:8" ht="25.5" customHeight="1" x14ac:dyDescent="0.2">
      <c r="B12" s="25" t="s">
        <v>57</v>
      </c>
      <c r="C12" s="26">
        <f>C8-C11</f>
        <v>1570.4</v>
      </c>
      <c r="D12" s="26">
        <f>D8-D11</f>
        <v>2077.2999999999997</v>
      </c>
      <c r="E12" s="26">
        <f>E8-E11</f>
        <v>2874.5</v>
      </c>
      <c r="F12" s="26">
        <f>F8-F11</f>
        <v>4208</v>
      </c>
      <c r="H12" s="24" t="s">
        <v>51</v>
      </c>
    </row>
    <row r="13" spans="2:8" ht="25.5" customHeight="1" x14ac:dyDescent="0.2">
      <c r="B13" s="22" t="s">
        <v>58</v>
      </c>
      <c r="C13" s="28">
        <f>C12/C8</f>
        <v>0.45455598008567788</v>
      </c>
      <c r="D13" s="28">
        <f>D12/D8</f>
        <v>0.41652630734680779</v>
      </c>
      <c r="E13" s="28">
        <f>E12/E8</f>
        <v>0.43320021098636124</v>
      </c>
      <c r="F13" s="28">
        <f>F12/F8</f>
        <v>0.45555916423081089</v>
      </c>
      <c r="H13" s="24" t="s">
        <v>51</v>
      </c>
    </row>
    <row r="14" spans="2:8" ht="25.5" customHeight="1" x14ac:dyDescent="0.2">
      <c r="B14" s="22" t="s">
        <v>59</v>
      </c>
      <c r="C14" s="23">
        <v>673</v>
      </c>
      <c r="D14" s="23">
        <v>835.9</v>
      </c>
      <c r="E14" s="23">
        <v>975</v>
      </c>
      <c r="F14" s="23">
        <v>1161</v>
      </c>
      <c r="H14" s="24" t="s">
        <v>60</v>
      </c>
    </row>
    <row r="15" spans="2:8" ht="25.5" customHeight="1" x14ac:dyDescent="0.2">
      <c r="B15" s="22" t="s">
        <v>61</v>
      </c>
      <c r="C15" s="23">
        <v>885.6</v>
      </c>
      <c r="D15" s="23">
        <v>1196.9000000000001</v>
      </c>
      <c r="E15" s="23">
        <v>1298.5999999999999</v>
      </c>
      <c r="F15" s="23">
        <v>1563</v>
      </c>
      <c r="H15" s="24" t="s">
        <v>60</v>
      </c>
    </row>
    <row r="16" spans="2:8" ht="25.5" customHeight="1" x14ac:dyDescent="0.2">
      <c r="B16" s="22" t="s">
        <v>62</v>
      </c>
      <c r="C16" s="23">
        <v>321.10000000000002</v>
      </c>
      <c r="D16" s="23">
        <v>438.8</v>
      </c>
      <c r="E16" s="23">
        <v>477.3</v>
      </c>
      <c r="F16" s="23">
        <v>531</v>
      </c>
      <c r="H16" s="24" t="s">
        <v>60</v>
      </c>
    </row>
    <row r="17" spans="2:8" ht="25.5" customHeight="1" x14ac:dyDescent="0.2">
      <c r="B17" s="25" t="s">
        <v>63</v>
      </c>
      <c r="C17" s="26">
        <f>C14+C15+C16</f>
        <v>1879.6999999999998</v>
      </c>
      <c r="D17" s="26">
        <f>D14+D15+D16</f>
        <v>2471.6000000000004</v>
      </c>
      <c r="E17" s="26">
        <f>E14+E15+E16</f>
        <v>2750.9</v>
      </c>
      <c r="F17" s="26">
        <f>F14+F15+F16</f>
        <v>3255</v>
      </c>
      <c r="H17" s="24" t="s">
        <v>51</v>
      </c>
    </row>
    <row r="18" spans="2:8" ht="25.5" customHeight="1" x14ac:dyDescent="0.2">
      <c r="B18" s="25" t="s">
        <v>64</v>
      </c>
      <c r="C18" s="26">
        <f>C12-C17</f>
        <v>-309.29999999999973</v>
      </c>
      <c r="D18" s="26">
        <f>D12-D17</f>
        <v>-394.30000000000064</v>
      </c>
      <c r="E18" s="26">
        <f>E12-E17</f>
        <v>123.59999999999991</v>
      </c>
      <c r="F18" s="26">
        <f>F12-F17</f>
        <v>953</v>
      </c>
      <c r="H18" s="24" t="s">
        <v>65</v>
      </c>
    </row>
    <row r="19" spans="2:8" ht="25.5" customHeight="1" x14ac:dyDescent="0.2">
      <c r="B19" s="22" t="s">
        <v>66</v>
      </c>
      <c r="C19" s="28">
        <f>C18/C8</f>
        <v>-8.9527613754775887E-2</v>
      </c>
      <c r="D19" s="28">
        <f>D18/D8</f>
        <v>-7.9062399743343087E-2</v>
      </c>
      <c r="E19" s="28">
        <f>E18/E8</f>
        <v>1.8627081606510422E-2</v>
      </c>
      <c r="F19" s="28">
        <f>F18/F8</f>
        <v>0.1031720255494208</v>
      </c>
      <c r="H19" s="24" t="s">
        <v>51</v>
      </c>
    </row>
    <row r="20" spans="2:8" ht="25.5" customHeight="1" x14ac:dyDescent="0.2">
      <c r="B20" s="22" t="s">
        <v>67</v>
      </c>
      <c r="C20" s="23">
        <v>63</v>
      </c>
      <c r="D20" s="23">
        <v>132</v>
      </c>
      <c r="E20" s="23">
        <v>213</v>
      </c>
      <c r="F20" s="23">
        <v>280</v>
      </c>
      <c r="H20" s="24" t="s">
        <v>68</v>
      </c>
    </row>
    <row r="21" spans="2:8" ht="25.5" customHeight="1" x14ac:dyDescent="0.2">
      <c r="B21" s="22" t="s">
        <v>69</v>
      </c>
      <c r="C21" s="27">
        <f>C18-C20</f>
        <v>-372.29999999999973</v>
      </c>
      <c r="D21" s="27">
        <f>D18-D20</f>
        <v>-526.30000000000064</v>
      </c>
      <c r="E21" s="27">
        <f>E18-E20</f>
        <v>-89.400000000000091</v>
      </c>
      <c r="F21" s="27">
        <f>F18-F20</f>
        <v>673</v>
      </c>
      <c r="H21" s="24" t="s">
        <v>51</v>
      </c>
    </row>
    <row r="22" spans="2:8" ht="25.5" customHeight="1" x14ac:dyDescent="0.2">
      <c r="B22" s="22" t="s">
        <v>70</v>
      </c>
      <c r="C22" s="23">
        <v>49</v>
      </c>
      <c r="D22" s="23">
        <v>29</v>
      </c>
      <c r="E22" s="23">
        <v>122</v>
      </c>
      <c r="F22" s="23">
        <v>236</v>
      </c>
      <c r="H22" s="24" t="s">
        <v>55</v>
      </c>
    </row>
    <row r="23" spans="2:8" ht="25.5" customHeight="1" x14ac:dyDescent="0.2">
      <c r="B23" s="22" t="s">
        <v>71</v>
      </c>
      <c r="C23" s="27">
        <f>C21+C22</f>
        <v>-323.29999999999973</v>
      </c>
      <c r="D23" s="27">
        <f>D21+D22</f>
        <v>-497.30000000000064</v>
      </c>
      <c r="E23" s="27">
        <f>E21+E22</f>
        <v>32.599999999999909</v>
      </c>
      <c r="F23" s="27">
        <f>F21+F22</f>
        <v>909</v>
      </c>
      <c r="H23" s="24" t="s">
        <v>51</v>
      </c>
    </row>
    <row r="24" spans="2:8" ht="25.5" customHeight="1" x14ac:dyDescent="0.2">
      <c r="B24" s="22" t="s">
        <v>72</v>
      </c>
      <c r="C24" s="23">
        <v>8</v>
      </c>
      <c r="D24" s="23">
        <v>11</v>
      </c>
      <c r="E24" s="23">
        <v>22</v>
      </c>
      <c r="F24" s="23">
        <v>53</v>
      </c>
      <c r="H24" s="24" t="s">
        <v>55</v>
      </c>
    </row>
    <row r="25" spans="2:8" ht="25.5" customHeight="1" x14ac:dyDescent="0.2">
      <c r="B25" s="25" t="s">
        <v>73</v>
      </c>
      <c r="C25" s="26">
        <f>C23-C24</f>
        <v>-331.29999999999973</v>
      </c>
      <c r="D25" s="26">
        <f>D23-D24</f>
        <v>-508.30000000000064</v>
      </c>
      <c r="E25" s="26">
        <f>E23-E24</f>
        <v>10.599999999999909</v>
      </c>
      <c r="F25" s="26">
        <f>F23-F24</f>
        <v>856</v>
      </c>
      <c r="H25" s="24" t="s">
        <v>51</v>
      </c>
    </row>
    <row r="26" spans="2:8" ht="25.5" customHeight="1" x14ac:dyDescent="0.2">
      <c r="B26" s="22" t="s">
        <v>74</v>
      </c>
      <c r="C26" s="28">
        <f>C25/C8</f>
        <v>-9.5895565589903822E-2</v>
      </c>
      <c r="D26" s="28">
        <f>D25/D8</f>
        <v>-0.10192091754892538</v>
      </c>
      <c r="E26" s="28">
        <f>E25/E8</f>
        <v>1.5974681636651208E-3</v>
      </c>
      <c r="F26" s="28">
        <f>F25/F8</f>
        <v>9.2670780556457721E-2</v>
      </c>
      <c r="H26" s="24" t="s">
        <v>51</v>
      </c>
    </row>
    <row r="27" spans="2:8" ht="25.5" customHeight="1" x14ac:dyDescent="0.2">
      <c r="B27" s="22" t="s">
        <v>75</v>
      </c>
      <c r="C27" s="28">
        <f>C25/2778</f>
        <v>-0.11925845932325405</v>
      </c>
      <c r="D27" s="28">
        <f>D25/2778</f>
        <v>-0.18297336213102974</v>
      </c>
      <c r="E27" s="28">
        <f>E25/2778</f>
        <v>3.8156947444204134E-3</v>
      </c>
      <c r="F27" s="28">
        <f>F25/2778</f>
        <v>0.30813534917206625</v>
      </c>
      <c r="H27" s="24" t="s">
        <v>76</v>
      </c>
    </row>
    <row r="28" spans="2:8" ht="7.5" customHeight="1" x14ac:dyDescent="0.2"/>
    <row r="29" spans="2:8" ht="16.5" customHeight="1" x14ac:dyDescent="0.2">
      <c r="B29" s="9" t="s">
        <v>77</v>
      </c>
      <c r="C29" s="9"/>
      <c r="D29" s="9"/>
      <c r="E29" s="9"/>
      <c r="F29" s="9"/>
    </row>
    <row r="30" spans="2:8" ht="25.5" customHeight="1" x14ac:dyDescent="0.2">
      <c r="B30" s="22" t="s">
        <v>78</v>
      </c>
      <c r="C30" s="23">
        <v>7774</v>
      </c>
      <c r="D30" s="23">
        <v>4982</v>
      </c>
      <c r="E30" s="23">
        <v>5347</v>
      </c>
      <c r="F30" s="23">
        <v>6118</v>
      </c>
      <c r="H30" s="24" t="s">
        <v>79</v>
      </c>
    </row>
    <row r="31" spans="2:8" ht="25.5" customHeight="1" x14ac:dyDescent="0.2">
      <c r="B31" s="22" t="s">
        <v>80</v>
      </c>
      <c r="C31" s="23">
        <v>8309</v>
      </c>
      <c r="D31" s="23">
        <v>5611</v>
      </c>
      <c r="E31" s="23">
        <v>6278</v>
      </c>
      <c r="F31" s="23">
        <v>7305</v>
      </c>
      <c r="H31" s="24" t="s">
        <v>55</v>
      </c>
    </row>
    <row r="32" spans="2:8" ht="25.5" customHeight="1" x14ac:dyDescent="0.2">
      <c r="B32" s="22" t="s">
        <v>81</v>
      </c>
      <c r="C32" s="23">
        <v>9909</v>
      </c>
      <c r="D32" s="23">
        <v>7572</v>
      </c>
      <c r="E32" s="23">
        <v>9106</v>
      </c>
      <c r="F32" s="23">
        <v>10948</v>
      </c>
      <c r="H32" s="24" t="s">
        <v>55</v>
      </c>
    </row>
    <row r="33" spans="2:8" ht="25.5" customHeight="1" x14ac:dyDescent="0.2">
      <c r="B33" s="22" t="s">
        <v>82</v>
      </c>
      <c r="C33" s="23">
        <v>624</v>
      </c>
      <c r="D33" s="23">
        <v>908</v>
      </c>
      <c r="E33" s="23">
        <v>1073</v>
      </c>
      <c r="F33" s="23">
        <v>1344</v>
      </c>
      <c r="H33" s="24" t="s">
        <v>55</v>
      </c>
    </row>
    <row r="34" spans="2:8" ht="25.5" customHeight="1" x14ac:dyDescent="0.2">
      <c r="B34" s="22" t="s">
        <v>83</v>
      </c>
      <c r="C34" s="23">
        <v>907</v>
      </c>
      <c r="D34" s="23">
        <v>911</v>
      </c>
      <c r="E34" s="23">
        <v>914</v>
      </c>
      <c r="F34" s="23">
        <v>918</v>
      </c>
      <c r="H34" s="24" t="s">
        <v>84</v>
      </c>
    </row>
    <row r="35" spans="2:8" ht="25.5" customHeight="1" x14ac:dyDescent="0.2">
      <c r="B35" s="22" t="s">
        <v>85</v>
      </c>
      <c r="C35" s="23">
        <v>1740</v>
      </c>
      <c r="D35" s="23">
        <v>2100</v>
      </c>
      <c r="E35" s="23">
        <v>2456</v>
      </c>
      <c r="F35" s="23">
        <v>2870</v>
      </c>
      <c r="H35" s="24" t="s">
        <v>55</v>
      </c>
    </row>
    <row r="36" spans="2:8" ht="25.5" customHeight="1" x14ac:dyDescent="0.2">
      <c r="B36" s="22" t="s">
        <v>86</v>
      </c>
      <c r="C36" s="23">
        <v>8169</v>
      </c>
      <c r="D36" s="23">
        <v>5472</v>
      </c>
      <c r="E36" s="23">
        <v>6650</v>
      </c>
      <c r="F36" s="23">
        <v>8078</v>
      </c>
      <c r="H36" s="24" t="s">
        <v>55</v>
      </c>
    </row>
    <row r="37" spans="2:8" ht="25.5" customHeight="1" x14ac:dyDescent="0.2">
      <c r="B37" s="22" t="s">
        <v>87</v>
      </c>
      <c r="C37" s="29">
        <v>1272</v>
      </c>
      <c r="D37" s="29">
        <v>1265</v>
      </c>
      <c r="E37" s="29">
        <v>1274</v>
      </c>
      <c r="F37" s="29">
        <v>1282</v>
      </c>
      <c r="H37" s="24" t="s">
        <v>88</v>
      </c>
    </row>
    <row r="38" spans="2:8" ht="7.5" customHeight="1" x14ac:dyDescent="0.2"/>
    <row r="39" spans="2:8" ht="16.5" customHeight="1" x14ac:dyDescent="0.2">
      <c r="B39" s="9" t="s">
        <v>89</v>
      </c>
      <c r="C39" s="9"/>
      <c r="D39" s="9"/>
      <c r="E39" s="9"/>
      <c r="F39" s="9"/>
    </row>
    <row r="40" spans="2:8" ht="25.5" customHeight="1" x14ac:dyDescent="0.2">
      <c r="B40" s="22" t="s">
        <v>73</v>
      </c>
      <c r="C40" s="27">
        <f>C25</f>
        <v>-331.29999999999973</v>
      </c>
      <c r="D40" s="27">
        <f>D25</f>
        <v>-508.30000000000064</v>
      </c>
      <c r="E40" s="27">
        <f>E25</f>
        <v>10.599999999999909</v>
      </c>
      <c r="F40" s="27">
        <f>F25</f>
        <v>856</v>
      </c>
      <c r="H40" s="24" t="s">
        <v>90</v>
      </c>
    </row>
    <row r="41" spans="2:8" ht="25.5" customHeight="1" x14ac:dyDescent="0.2">
      <c r="B41" s="22" t="s">
        <v>67</v>
      </c>
      <c r="C41" s="27">
        <f>C20</f>
        <v>63</v>
      </c>
      <c r="D41" s="27">
        <f>D20</f>
        <v>132</v>
      </c>
      <c r="E41" s="27">
        <f>E20</f>
        <v>213</v>
      </c>
      <c r="F41" s="27">
        <f>F20</f>
        <v>280</v>
      </c>
      <c r="H41" s="24" t="s">
        <v>90</v>
      </c>
    </row>
    <row r="42" spans="2:8" ht="25.5" customHeight="1" x14ac:dyDescent="0.2">
      <c r="B42" s="22" t="s">
        <v>91</v>
      </c>
      <c r="C42" s="23">
        <v>616</v>
      </c>
      <c r="D42" s="23">
        <v>878</v>
      </c>
      <c r="E42" s="23">
        <v>826</v>
      </c>
      <c r="F42" s="23">
        <v>860</v>
      </c>
      <c r="H42" s="24" t="s">
        <v>68</v>
      </c>
    </row>
    <row r="43" spans="2:8" ht="25.5" customHeight="1" x14ac:dyDescent="0.2">
      <c r="B43" s="22" t="s">
        <v>92</v>
      </c>
      <c r="C43" s="23">
        <v>-184</v>
      </c>
      <c r="D43" s="23">
        <v>-312</v>
      </c>
      <c r="E43" s="23">
        <v>-98</v>
      </c>
      <c r="F43" s="23">
        <v>-145</v>
      </c>
      <c r="H43" s="24" t="s">
        <v>55</v>
      </c>
    </row>
    <row r="44" spans="2:8" ht="25.5" customHeight="1" x14ac:dyDescent="0.2">
      <c r="B44" s="25" t="s">
        <v>93</v>
      </c>
      <c r="C44" s="26">
        <f>C40+C41+C42+C43</f>
        <v>163.70000000000027</v>
      </c>
      <c r="D44" s="26">
        <f>D40+D41+D42+D43</f>
        <v>189.69999999999936</v>
      </c>
      <c r="E44" s="26">
        <f>E40+E41+E42+E43</f>
        <v>951.59999999999991</v>
      </c>
      <c r="F44" s="26">
        <f>F40+F41+F42+F43</f>
        <v>1851</v>
      </c>
      <c r="H44" s="24" t="s">
        <v>51</v>
      </c>
    </row>
    <row r="45" spans="2:8" ht="25.5" customHeight="1" x14ac:dyDescent="0.2">
      <c r="B45" s="22" t="s">
        <v>94</v>
      </c>
      <c r="C45" s="23">
        <v>-38</v>
      </c>
      <c r="D45" s="23">
        <v>-55</v>
      </c>
      <c r="E45" s="23">
        <v>-48</v>
      </c>
      <c r="F45" s="23">
        <v>-52</v>
      </c>
      <c r="H45" s="24" t="s">
        <v>55</v>
      </c>
    </row>
    <row r="46" spans="2:8" ht="25.5" customHeight="1" x14ac:dyDescent="0.2">
      <c r="B46" s="25" t="s">
        <v>95</v>
      </c>
      <c r="C46" s="26">
        <f>C44+C45</f>
        <v>125.70000000000027</v>
      </c>
      <c r="D46" s="26">
        <f>D44+D45</f>
        <v>134.69999999999936</v>
      </c>
      <c r="E46" s="26">
        <f>E44+E45</f>
        <v>903.59999999999991</v>
      </c>
      <c r="F46" s="26">
        <f>F44+F45</f>
        <v>1799</v>
      </c>
      <c r="H46" s="24" t="s">
        <v>96</v>
      </c>
    </row>
    <row r="47" spans="2:8" ht="25.5" customHeight="1" x14ac:dyDescent="0.2">
      <c r="B47" s="22" t="s">
        <v>97</v>
      </c>
      <c r="C47" s="28">
        <f>C46/C8</f>
        <v>3.6384161167071979E-2</v>
      </c>
      <c r="D47" s="28">
        <f>D46/D8</f>
        <v>2.7009143407122106E-2</v>
      </c>
      <c r="E47" s="28">
        <f>E46/E8</f>
        <v>0.13617662572526559</v>
      </c>
      <c r="F47" s="28">
        <f>F46/F8</f>
        <v>0.19476020352928439</v>
      </c>
      <c r="H47" s="24" t="s">
        <v>51</v>
      </c>
    </row>
  </sheetData>
  <mergeCells count="5">
    <mergeCell ref="B1:F1"/>
    <mergeCell ref="B2:F2"/>
    <mergeCell ref="B5:F5"/>
    <mergeCell ref="B29:F29"/>
    <mergeCell ref="B39:F3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9"/>
  <sheetViews>
    <sheetView showGridLines="0" topLeftCell="A3" zoomScale="94" zoomScaleNormal="181" workbookViewId="0">
      <selection activeCell="B10" sqref="B10:H10"/>
    </sheetView>
  </sheetViews>
  <sheetFormatPr baseColWidth="10" defaultColWidth="8.6640625" defaultRowHeight="15" x14ac:dyDescent="0.2"/>
  <cols>
    <col min="1" max="1" width="3" customWidth="1"/>
    <col min="2" max="2" width="94.5" customWidth="1"/>
    <col min="3" max="3" width="27" customWidth="1"/>
    <col min="4" max="7" width="16" customWidth="1"/>
    <col min="8" max="8" width="24.6640625" customWidth="1"/>
    <col min="9" max="9" width="3" customWidth="1"/>
    <col min="10" max="10" width="40" customWidth="1"/>
  </cols>
  <sheetData>
    <row r="1" spans="2:8" ht="21.75" customHeight="1" x14ac:dyDescent="0.2">
      <c r="B1" s="10" t="s">
        <v>98</v>
      </c>
      <c r="C1" s="10"/>
      <c r="D1" s="10"/>
      <c r="E1" s="10"/>
      <c r="F1" s="10"/>
      <c r="G1" s="10"/>
      <c r="H1" s="10"/>
    </row>
    <row r="2" spans="2:8" ht="16.5" customHeight="1" x14ac:dyDescent="0.2">
      <c r="B2" s="9" t="s">
        <v>99</v>
      </c>
      <c r="C2" s="9"/>
      <c r="D2" s="9"/>
      <c r="E2" s="9"/>
      <c r="F2" s="9"/>
      <c r="G2" s="9"/>
      <c r="H2" s="9"/>
    </row>
    <row r="3" spans="2:8" ht="18" customHeight="1" x14ac:dyDescent="0.2">
      <c r="B3" s="21" t="s">
        <v>100</v>
      </c>
      <c r="C3" s="21" t="s">
        <v>101</v>
      </c>
      <c r="D3" s="21" t="s">
        <v>102</v>
      </c>
      <c r="E3" s="21"/>
      <c r="F3" s="21" t="s">
        <v>100</v>
      </c>
      <c r="G3" s="21" t="s">
        <v>101</v>
      </c>
      <c r="H3" s="21" t="s">
        <v>102</v>
      </c>
    </row>
    <row r="4" spans="2:8" ht="16.5" customHeight="1" x14ac:dyDescent="0.2">
      <c r="B4" s="13" t="s">
        <v>103</v>
      </c>
      <c r="C4" s="17">
        <f>'DCF Model'!C44</f>
        <v>0.23</v>
      </c>
      <c r="D4" s="30" t="s">
        <v>104</v>
      </c>
      <c r="F4" s="13" t="s">
        <v>105</v>
      </c>
      <c r="G4" s="31">
        <f>'DCF Model'!C40</f>
        <v>9.7332931706953535E-2</v>
      </c>
      <c r="H4" s="30" t="s">
        <v>106</v>
      </c>
    </row>
    <row r="5" spans="2:8" ht="16.5" customHeight="1" x14ac:dyDescent="0.2">
      <c r="B5" s="13" t="s">
        <v>107</v>
      </c>
      <c r="C5" s="17">
        <f>'DCF Model'!C46</f>
        <v>0.1031720255494208</v>
      </c>
      <c r="D5" s="30" t="s">
        <v>108</v>
      </c>
      <c r="F5" s="13" t="s">
        <v>109</v>
      </c>
      <c r="G5" s="31">
        <f>'DCF Model'!C67</f>
        <v>0.04</v>
      </c>
      <c r="H5" s="30" t="s">
        <v>110</v>
      </c>
    </row>
    <row r="6" spans="2:8" ht="16.5" customHeight="1" x14ac:dyDescent="0.2">
      <c r="B6" s="13" t="s">
        <v>111</v>
      </c>
      <c r="C6" s="17">
        <f>'DCF Model'!C36</f>
        <v>0.08</v>
      </c>
      <c r="D6" s="30" t="s">
        <v>112</v>
      </c>
      <c r="F6" s="13" t="s">
        <v>113</v>
      </c>
      <c r="G6" s="31">
        <f>'DCF Model'!C31</f>
        <v>4.2999999999999997E-2</v>
      </c>
      <c r="H6" s="30" t="s">
        <v>114</v>
      </c>
    </row>
    <row r="7" spans="2:8" ht="16.5" customHeight="1" x14ac:dyDescent="0.2">
      <c r="B7" s="13" t="s">
        <v>115</v>
      </c>
      <c r="C7" s="32">
        <v>5.0000000000000001E-3</v>
      </c>
      <c r="D7" s="30" t="s">
        <v>116</v>
      </c>
      <c r="F7" s="13" t="s">
        <v>117</v>
      </c>
      <c r="G7" s="33">
        <f>'DCF Model'!C33</f>
        <v>1.1000000000000001</v>
      </c>
      <c r="H7" s="30" t="s">
        <v>118</v>
      </c>
    </row>
    <row r="8" spans="2:8" ht="16.5" customHeight="1" x14ac:dyDescent="0.2">
      <c r="B8" s="13" t="s">
        <v>119</v>
      </c>
      <c r="C8" s="32">
        <v>0.01</v>
      </c>
      <c r="D8" s="30" t="s">
        <v>120</v>
      </c>
      <c r="F8" s="13" t="s">
        <v>121</v>
      </c>
      <c r="G8" s="31">
        <f>'DCF Model'!C32</f>
        <v>0.05</v>
      </c>
      <c r="H8" s="30" t="s">
        <v>122</v>
      </c>
    </row>
    <row r="9" spans="2:8" ht="6" customHeight="1" x14ac:dyDescent="0.2"/>
    <row r="10" spans="2:8" ht="16.5" customHeight="1" x14ac:dyDescent="0.2">
      <c r="B10" s="9" t="s">
        <v>123</v>
      </c>
      <c r="C10" s="9"/>
      <c r="D10" s="9"/>
      <c r="E10" s="9"/>
      <c r="F10" s="9"/>
      <c r="G10" s="9"/>
      <c r="H10" s="9"/>
    </row>
    <row r="11" spans="2:8" ht="3.75" customHeight="1" x14ac:dyDescent="0.2"/>
    <row r="12" spans="2:8" ht="16.5" customHeight="1" x14ac:dyDescent="0.2">
      <c r="B12" s="12" t="s">
        <v>124</v>
      </c>
      <c r="C12" s="31">
        <f>'DCF Model'!C67</f>
        <v>0.04</v>
      </c>
      <c r="D12" s="12"/>
      <c r="E12" s="12"/>
      <c r="F12" s="12"/>
      <c r="G12" s="12"/>
      <c r="H12" s="12"/>
    </row>
    <row r="13" spans="2:8" ht="7.5" customHeight="1" x14ac:dyDescent="0.2"/>
    <row r="14" spans="2:8" ht="25.5" customHeight="1" x14ac:dyDescent="0.2"/>
    <row r="15" spans="2:8" ht="25.5" customHeight="1" x14ac:dyDescent="0.2"/>
    <row r="16" spans="2:8" ht="25.5" customHeight="1" x14ac:dyDescent="0.2"/>
    <row r="17" spans="2:10" ht="25.5" customHeight="1" x14ac:dyDescent="0.2"/>
    <row r="18" spans="2:10" ht="25.5" customHeight="1" x14ac:dyDescent="0.2"/>
    <row r="19" spans="2:10" ht="25.5" customHeight="1" x14ac:dyDescent="0.2">
      <c r="B19" s="11" t="s">
        <v>125</v>
      </c>
      <c r="C19" s="81"/>
      <c r="D19" s="81"/>
      <c r="E19" s="81"/>
      <c r="F19" s="81"/>
      <c r="G19" s="81"/>
      <c r="H19" s="81"/>
    </row>
    <row r="20" spans="2:10" ht="25.5" customHeight="1" x14ac:dyDescent="0.2">
      <c r="B20" s="12" t="s">
        <v>126</v>
      </c>
      <c r="C20" s="81"/>
      <c r="D20" s="81"/>
      <c r="E20" s="81"/>
      <c r="F20" s="81"/>
      <c r="G20" s="81"/>
      <c r="H20" s="81"/>
    </row>
    <row r="21" spans="2:10" ht="18" customHeight="1" x14ac:dyDescent="0.2"/>
    <row r="22" spans="2:10" ht="17" customHeight="1" x14ac:dyDescent="0.2">
      <c r="B22" s="12" t="s">
        <v>127</v>
      </c>
      <c r="C22" s="82"/>
    </row>
    <row r="23" spans="2:10" ht="22" customHeight="1" x14ac:dyDescent="0.2">
      <c r="B23" s="22" t="s">
        <v>128</v>
      </c>
      <c r="C23" s="80">
        <v>87.2</v>
      </c>
      <c r="J23" s="24" t="s">
        <v>129</v>
      </c>
    </row>
    <row r="24" spans="2:10" ht="16.5" customHeight="1" x14ac:dyDescent="0.2">
      <c r="B24" s="36" t="s">
        <v>87</v>
      </c>
      <c r="C24" s="29">
        <v>1282</v>
      </c>
      <c r="J24" s="24" t="s">
        <v>88</v>
      </c>
    </row>
    <row r="25" spans="2:10" ht="18" customHeight="1" x14ac:dyDescent="0.2">
      <c r="B25" s="25" t="s">
        <v>130</v>
      </c>
      <c r="C25" s="26">
        <f>C23*C24</f>
        <v>111790.40000000001</v>
      </c>
      <c r="J25" s="24" t="s">
        <v>131</v>
      </c>
    </row>
    <row r="26" spans="2:10" ht="16.5" customHeight="1" x14ac:dyDescent="0.2">
      <c r="B26" s="22" t="s">
        <v>132</v>
      </c>
      <c r="C26" s="37">
        <v>918</v>
      </c>
      <c r="J26" s="24" t="s">
        <v>133</v>
      </c>
    </row>
    <row r="27" spans="2:10" ht="16.5" customHeight="1" x14ac:dyDescent="0.2">
      <c r="B27" s="22" t="s">
        <v>134</v>
      </c>
      <c r="C27" s="37">
        <v>6118</v>
      </c>
      <c r="J27" s="24" t="s">
        <v>135</v>
      </c>
    </row>
    <row r="28" spans="2:10" ht="16.5" customHeight="1" x14ac:dyDescent="0.2">
      <c r="B28" s="25" t="s">
        <v>136</v>
      </c>
      <c r="C28" s="26">
        <f>C25+C26-C27</f>
        <v>106590.40000000001</v>
      </c>
      <c r="J28" s="24" t="s">
        <v>137</v>
      </c>
    </row>
    <row r="29" spans="2:10" ht="16.5" customHeight="1" x14ac:dyDescent="0.2"/>
    <row r="30" spans="2:10" ht="16" customHeight="1" x14ac:dyDescent="0.2">
      <c r="B30" s="9" t="s">
        <v>138</v>
      </c>
      <c r="C30" s="9"/>
      <c r="D30" s="9"/>
      <c r="E30" s="9"/>
      <c r="F30" s="9"/>
      <c r="G30" s="9"/>
      <c r="H30" s="9"/>
    </row>
    <row r="31" spans="2:10" ht="42" customHeight="1" x14ac:dyDescent="0.2">
      <c r="B31" s="22" t="s">
        <v>139</v>
      </c>
      <c r="C31" s="38">
        <f>0.043</f>
        <v>4.2999999999999997E-2</v>
      </c>
      <c r="J31" s="24" t="s">
        <v>140</v>
      </c>
    </row>
    <row r="32" spans="2:10" ht="16" customHeight="1" x14ac:dyDescent="0.2">
      <c r="B32" s="22" t="s">
        <v>121</v>
      </c>
      <c r="C32" s="39">
        <v>0.05</v>
      </c>
      <c r="J32" s="24" t="s">
        <v>141</v>
      </c>
    </row>
    <row r="33" spans="2:10" ht="16.5" customHeight="1" x14ac:dyDescent="0.2">
      <c r="B33" s="36" t="s">
        <v>142</v>
      </c>
      <c r="C33" s="40">
        <v>1.1000000000000001</v>
      </c>
      <c r="J33" s="24" t="s">
        <v>143</v>
      </c>
    </row>
    <row r="34" spans="2:10" ht="18" customHeight="1" x14ac:dyDescent="0.2">
      <c r="B34" s="25" t="s">
        <v>144</v>
      </c>
      <c r="C34" s="38">
        <f>C31+C33*C32</f>
        <v>9.8000000000000004E-2</v>
      </c>
      <c r="J34" s="24" t="s">
        <v>145</v>
      </c>
    </row>
    <row r="35" spans="2:10" ht="16.5" customHeight="1" x14ac:dyDescent="0.2">
      <c r="B35" s="22" t="s">
        <v>146</v>
      </c>
      <c r="C35" s="39">
        <v>1.7500000000000002E-2</v>
      </c>
      <c r="J35" s="24" t="s">
        <v>147</v>
      </c>
    </row>
    <row r="36" spans="2:10" ht="16.5" customHeight="1" x14ac:dyDescent="0.2">
      <c r="B36" s="22" t="s">
        <v>111</v>
      </c>
      <c r="C36" s="39">
        <v>0.08</v>
      </c>
      <c r="J36" s="24" t="s">
        <v>148</v>
      </c>
    </row>
    <row r="37" spans="2:10" ht="16.5" customHeight="1" x14ac:dyDescent="0.2">
      <c r="B37" s="22" t="s">
        <v>149</v>
      </c>
      <c r="C37" s="38">
        <f>C35*(1-C36)</f>
        <v>1.6100000000000003E-2</v>
      </c>
      <c r="J37" s="24" t="s">
        <v>51</v>
      </c>
    </row>
    <row r="38" spans="2:10" ht="16.5" customHeight="1" x14ac:dyDescent="0.2">
      <c r="B38" s="22" t="s">
        <v>150</v>
      </c>
      <c r="C38" s="38">
        <f>C25/(C25+C26)</f>
        <v>0.99185508799699051</v>
      </c>
      <c r="J38" s="24" t="s">
        <v>151</v>
      </c>
    </row>
    <row r="39" spans="2:10" ht="16.5" customHeight="1" x14ac:dyDescent="0.2">
      <c r="B39" s="22" t="s">
        <v>152</v>
      </c>
      <c r="C39" s="38">
        <f>1-C38</f>
        <v>8.1449120030094857E-3</v>
      </c>
      <c r="J39" s="24" t="s">
        <v>51</v>
      </c>
    </row>
    <row r="40" spans="2:10" ht="16.5" customHeight="1" x14ac:dyDescent="0.2">
      <c r="B40" s="25" t="s">
        <v>105</v>
      </c>
      <c r="C40" s="41">
        <f>C34*C38+C37*C39</f>
        <v>9.7332931706953535E-2</v>
      </c>
      <c r="J40" s="24" t="s">
        <v>153</v>
      </c>
    </row>
    <row r="41" spans="2:10" ht="16.5" customHeight="1" x14ac:dyDescent="0.2"/>
    <row r="42" spans="2:10" ht="16.5" customHeight="1" x14ac:dyDescent="0.2">
      <c r="B42" s="12" t="s">
        <v>154</v>
      </c>
      <c r="C42" s="34"/>
      <c r="D42" s="34"/>
      <c r="E42" s="34"/>
      <c r="F42" s="34"/>
      <c r="G42" s="34"/>
      <c r="H42" s="34"/>
    </row>
    <row r="43" spans="2:10" ht="16.5" customHeight="1" x14ac:dyDescent="0.2">
      <c r="B43" s="21" t="s">
        <v>155</v>
      </c>
      <c r="C43" s="21" t="s">
        <v>156</v>
      </c>
      <c r="D43" s="21" t="s">
        <v>157</v>
      </c>
      <c r="E43" s="21" t="s">
        <v>158</v>
      </c>
      <c r="F43" s="21" t="s">
        <v>159</v>
      </c>
      <c r="G43" s="21" t="s">
        <v>160</v>
      </c>
      <c r="H43" s="21" t="s">
        <v>161</v>
      </c>
    </row>
    <row r="44" spans="2:10" ht="21" customHeight="1" x14ac:dyDescent="0.2">
      <c r="B44" s="22" t="s">
        <v>162</v>
      </c>
      <c r="C44" s="32">
        <v>0.23</v>
      </c>
      <c r="D44" s="32">
        <f>C44</f>
        <v>0.23</v>
      </c>
      <c r="E44" s="28">
        <f>C44*0.93</f>
        <v>0.21390000000000001</v>
      </c>
      <c r="F44" s="28">
        <f>E44*0.93</f>
        <v>0.19892700000000002</v>
      </c>
      <c r="G44" s="28">
        <f>F44*0.93</f>
        <v>0.18500211000000003</v>
      </c>
    </row>
    <row r="45" spans="2:10" ht="21" customHeight="1" x14ac:dyDescent="0.2">
      <c r="B45" s="8" t="s">
        <v>58</v>
      </c>
      <c r="C45" s="8"/>
      <c r="D45" s="8"/>
      <c r="E45" s="8"/>
      <c r="F45" s="28">
        <f>C27*1.005</f>
        <v>6148.5899999999992</v>
      </c>
      <c r="G45" s="28">
        <f>C27*1.005</f>
        <v>6148.5899999999992</v>
      </c>
    </row>
    <row r="46" spans="2:10" ht="16.5" customHeight="1" x14ac:dyDescent="0.2">
      <c r="B46" s="22" t="s">
        <v>66</v>
      </c>
      <c r="C46" s="28">
        <f>Financials!F19</f>
        <v>0.1031720255494208</v>
      </c>
      <c r="D46" s="28">
        <f>C46*1.15</f>
        <v>0.11864782938183391</v>
      </c>
      <c r="E46" s="28">
        <f>D46*1.12</f>
        <v>0.13288556890765399</v>
      </c>
      <c r="F46" s="28">
        <f>E46*1.08</f>
        <v>0.14351641442026633</v>
      </c>
      <c r="G46" s="28">
        <f>F46*1.06</f>
        <v>0.15212739928548233</v>
      </c>
    </row>
    <row r="47" spans="2:10" ht="16.5" customHeight="1" x14ac:dyDescent="0.2">
      <c r="B47" s="22" t="s">
        <v>163</v>
      </c>
      <c r="C47" s="32">
        <v>0.72</v>
      </c>
      <c r="D47" s="28">
        <f>C29</f>
        <v>0</v>
      </c>
      <c r="E47" s="28">
        <f>C29</f>
        <v>0</v>
      </c>
      <c r="F47" s="28">
        <f>C29</f>
        <v>0</v>
      </c>
      <c r="G47" s="28">
        <f>C29</f>
        <v>0</v>
      </c>
    </row>
    <row r="48" spans="2:10" ht="16.5" customHeight="1" x14ac:dyDescent="0.2">
      <c r="B48" s="22" t="s">
        <v>164</v>
      </c>
      <c r="C48" s="28">
        <f>Financials!F20/Financials!F8</f>
        <v>3.0312872144635704E-2</v>
      </c>
      <c r="D48" s="28">
        <f>C48</f>
        <v>3.0312872144635704E-2</v>
      </c>
      <c r="E48" s="28">
        <f>C48</f>
        <v>3.0312872144635704E-2</v>
      </c>
      <c r="F48" s="28">
        <f>C48</f>
        <v>3.0312872144635704E-2</v>
      </c>
      <c r="G48" s="28">
        <f>C48</f>
        <v>3.0312872144635704E-2</v>
      </c>
    </row>
    <row r="49" spans="2:8" ht="25.5" customHeight="1" x14ac:dyDescent="0.2">
      <c r="B49" s="25" t="s">
        <v>165</v>
      </c>
      <c r="C49" s="26">
        <f>Financials!F8*(1+C44)</f>
        <v>11361.51</v>
      </c>
      <c r="D49" s="26">
        <f>C49*(1+D44)</f>
        <v>13974.657300000001</v>
      </c>
      <c r="E49" s="26">
        <f>D49*(1+E44)</f>
        <v>16963.836496470001</v>
      </c>
      <c r="F49" s="26">
        <f>E49*(1+F44)</f>
        <v>20338.401599203291</v>
      </c>
      <c r="G49" s="26">
        <f>F49*(1+G44)</f>
        <v>24101.048809083277</v>
      </c>
    </row>
    <row r="50" spans="2:8" ht="25.5" customHeight="1" x14ac:dyDescent="0.2"/>
    <row r="51" spans="2:8" ht="16.5" customHeight="1" x14ac:dyDescent="0.2">
      <c r="B51" s="12" t="s">
        <v>166</v>
      </c>
      <c r="C51" s="34"/>
      <c r="D51" s="34"/>
      <c r="E51" s="34"/>
      <c r="F51" s="34"/>
      <c r="G51" s="34"/>
      <c r="H51" s="34"/>
    </row>
    <row r="52" spans="2:8" ht="16.5" customHeight="1" x14ac:dyDescent="0.2">
      <c r="B52" s="21" t="s">
        <v>155</v>
      </c>
      <c r="C52" s="21" t="s">
        <v>156</v>
      </c>
      <c r="D52" s="21" t="s">
        <v>157</v>
      </c>
      <c r="E52" s="21" t="s">
        <v>158</v>
      </c>
      <c r="F52" s="21" t="s">
        <v>159</v>
      </c>
      <c r="G52" s="21" t="s">
        <v>160</v>
      </c>
    </row>
    <row r="53" spans="2:8" ht="16.5" customHeight="1" x14ac:dyDescent="0.2">
      <c r="B53" s="22" t="s">
        <v>167</v>
      </c>
      <c r="C53" s="42">
        <f>C49</f>
        <v>11361.51</v>
      </c>
      <c r="D53" s="43">
        <f>D49</f>
        <v>13974.657300000001</v>
      </c>
      <c r="E53" s="43">
        <f>E49</f>
        <v>16963.836496470001</v>
      </c>
      <c r="F53" s="43">
        <f>F49</f>
        <v>20338.401599203291</v>
      </c>
      <c r="G53" s="43">
        <f>G49</f>
        <v>24101.048809083277</v>
      </c>
    </row>
    <row r="54" spans="2:8" ht="16.5" customHeight="1" x14ac:dyDescent="0.2">
      <c r="B54" s="22" t="s">
        <v>168</v>
      </c>
      <c r="C54" s="27">
        <f>C53*C46</f>
        <v>1172.19</v>
      </c>
      <c r="D54" s="27">
        <f>D53*D46</f>
        <v>1658.0627549999997</v>
      </c>
      <c r="E54" s="27">
        <f>E53*E46</f>
        <v>2254.2490636898401</v>
      </c>
      <c r="F54" s="27">
        <f>F53*F46</f>
        <v>2918.8944725570668</v>
      </c>
      <c r="G54" s="27">
        <f>G53*G46</f>
        <v>3666.42987537831</v>
      </c>
    </row>
    <row r="55" spans="2:8" ht="16.5" customHeight="1" x14ac:dyDescent="0.2">
      <c r="B55" s="22" t="s">
        <v>169</v>
      </c>
      <c r="C55" s="27">
        <f>-C53*C48</f>
        <v>-344.4</v>
      </c>
      <c r="D55" s="27">
        <f>-D53*D48</f>
        <v>-423.61200000000002</v>
      </c>
      <c r="E55" s="27">
        <f>-E53*E48</f>
        <v>-514.22260679999999</v>
      </c>
      <c r="F55" s="27">
        <f>-F53*F48</f>
        <v>-616.51536730290366</v>
      </c>
      <c r="G55" s="27">
        <f>-G53*G48</f>
        <v>-730.572011101366</v>
      </c>
    </row>
    <row r="56" spans="2:8" ht="16.5" customHeight="1" x14ac:dyDescent="0.2">
      <c r="B56" s="22" t="s">
        <v>69</v>
      </c>
      <c r="C56" s="27">
        <f>C54+C55</f>
        <v>827.79000000000008</v>
      </c>
      <c r="D56" s="27">
        <f>D54+D55</f>
        <v>1234.4507549999996</v>
      </c>
      <c r="E56" s="27">
        <f>E54+E55</f>
        <v>1740.0264568898401</v>
      </c>
      <c r="F56" s="27">
        <f>F54+F55</f>
        <v>2302.3791052541633</v>
      </c>
      <c r="G56" s="27">
        <f>G54+G55</f>
        <v>2935.8578642769439</v>
      </c>
    </row>
    <row r="57" spans="2:8" ht="25.5" customHeight="1" x14ac:dyDescent="0.2">
      <c r="B57" s="22" t="s">
        <v>170</v>
      </c>
      <c r="C57" s="27">
        <f>-C56*C36</f>
        <v>-66.223200000000006</v>
      </c>
      <c r="D57" s="27">
        <f>-D56*C36</f>
        <v>-98.756060399999967</v>
      </c>
      <c r="E57" s="27">
        <f>-E56*C36</f>
        <v>-139.2021165511872</v>
      </c>
      <c r="F57" s="27">
        <f>-F56*C36</f>
        <v>-184.19032842033306</v>
      </c>
      <c r="G57" s="27">
        <f>-G56*C36</f>
        <v>-234.86862914215553</v>
      </c>
    </row>
    <row r="58" spans="2:8" ht="16.5" customHeight="1" x14ac:dyDescent="0.2">
      <c r="B58" s="22" t="s">
        <v>171</v>
      </c>
      <c r="C58" s="27">
        <f>-C55</f>
        <v>344.4</v>
      </c>
      <c r="D58" s="27">
        <f>-D55</f>
        <v>423.61200000000002</v>
      </c>
      <c r="E58" s="27">
        <f>-E55</f>
        <v>514.22260679999999</v>
      </c>
      <c r="F58" s="27">
        <f>-F55</f>
        <v>616.51536730290366</v>
      </c>
      <c r="G58" s="27">
        <f>-G55</f>
        <v>730.572011101366</v>
      </c>
    </row>
    <row r="59" spans="2:8" ht="16.5" customHeight="1" x14ac:dyDescent="0.2">
      <c r="B59" s="22" t="s">
        <v>172</v>
      </c>
      <c r="C59" s="27">
        <f>-C53*0.005</f>
        <v>-56.807549999999999</v>
      </c>
      <c r="D59" s="27">
        <f>-D53*0.005</f>
        <v>-69.873286500000006</v>
      </c>
      <c r="E59" s="27">
        <f>-E53*0.005</f>
        <v>-84.819182482350001</v>
      </c>
      <c r="F59" s="27">
        <f>-F53*0.005</f>
        <v>-101.69200799601646</v>
      </c>
      <c r="G59" s="27">
        <f>-G53*0.005</f>
        <v>-120.50524404541639</v>
      </c>
    </row>
    <row r="60" spans="2:8" ht="15" customHeight="1" x14ac:dyDescent="0.2">
      <c r="B60" s="22" t="s">
        <v>173</v>
      </c>
      <c r="C60" s="27">
        <f>-C53*0.01</f>
        <v>-113.6151</v>
      </c>
      <c r="D60" s="27">
        <f>-D53*0.01</f>
        <v>-139.74657300000001</v>
      </c>
      <c r="E60" s="27">
        <f>-E53*0.01</f>
        <v>-169.6383649647</v>
      </c>
      <c r="F60" s="27">
        <f>-F53*0.01</f>
        <v>-203.38401599203291</v>
      </c>
      <c r="G60" s="27">
        <f>-G53*0.01</f>
        <v>-241.01048809083278</v>
      </c>
    </row>
    <row r="61" spans="2:8" ht="15" customHeight="1" x14ac:dyDescent="0.2">
      <c r="B61" s="25" t="s">
        <v>174</v>
      </c>
      <c r="C61" s="26">
        <f>C56+C57+C58+C59+C60</f>
        <v>935.54415000000017</v>
      </c>
      <c r="D61" s="26">
        <f>D56+D57+D58+D59+D60</f>
        <v>1349.6868350999998</v>
      </c>
      <c r="E61" s="26">
        <f>E56+E57+E58+E59+E60</f>
        <v>1860.5893996916031</v>
      </c>
      <c r="F61" s="26">
        <f>F56+F57+F58+F59+F60</f>
        <v>2429.6281201486845</v>
      </c>
      <c r="G61" s="26">
        <f>G56+G57+G58+G59+G60</f>
        <v>3070.0455140999052</v>
      </c>
    </row>
    <row r="63" spans="2:8" ht="15" customHeight="1" x14ac:dyDescent="0.2">
      <c r="B63" s="12" t="s">
        <v>175</v>
      </c>
      <c r="C63" s="34"/>
      <c r="D63" s="34"/>
      <c r="E63" s="34"/>
    </row>
    <row r="64" spans="2:8" ht="15" customHeight="1" x14ac:dyDescent="0.2">
      <c r="B64" s="22" t="s">
        <v>176</v>
      </c>
      <c r="C64" s="44">
        <v>1</v>
      </c>
      <c r="D64" s="44">
        <v>2</v>
      </c>
      <c r="E64" s="44">
        <v>3</v>
      </c>
      <c r="F64" s="44">
        <v>4</v>
      </c>
      <c r="G64" s="44">
        <v>5</v>
      </c>
    </row>
    <row r="65" spans="2:10" ht="15" customHeight="1" x14ac:dyDescent="0.2">
      <c r="B65" s="22" t="s">
        <v>177</v>
      </c>
      <c r="C65" s="45">
        <f>1/(1+C40)^1</f>
        <v>0.91130045504462576</v>
      </c>
      <c r="D65" s="45">
        <f>1/(1+C40)^2</f>
        <v>0.83046851936454191</v>
      </c>
      <c r="E65" s="45">
        <f>1/(1+C40)^3</f>
        <v>0.75680633959714361</v>
      </c>
      <c r="F65" s="45">
        <f>1/(1+C40)^4</f>
        <v>0.68967796165553452</v>
      </c>
      <c r="G65" s="45">
        <f>1/(1+C40)^5</f>
        <v>0.62850384029093853</v>
      </c>
    </row>
    <row r="66" spans="2:10" ht="15" customHeight="1" x14ac:dyDescent="0.2">
      <c r="B66" s="22" t="s">
        <v>178</v>
      </c>
      <c r="C66" s="27">
        <f>C61*C65</f>
        <v>852.56180960933773</v>
      </c>
      <c r="D66" s="27">
        <f>D61*D65</f>
        <v>1120.8724275513116</v>
      </c>
      <c r="E66" s="27">
        <f>E61*E65</f>
        <v>1408.1058530738489</v>
      </c>
      <c r="F66" s="27">
        <f>F61*F65</f>
        <v>1675.6609694851129</v>
      </c>
      <c r="G66" s="27">
        <f>G61*G65</f>
        <v>1929.535395479759</v>
      </c>
    </row>
    <row r="67" spans="2:10" ht="18.75" customHeight="1" x14ac:dyDescent="0.2">
      <c r="B67" s="22" t="s">
        <v>109</v>
      </c>
      <c r="C67" s="39">
        <v>0.04</v>
      </c>
      <c r="J67" s="24" t="s">
        <v>179</v>
      </c>
    </row>
    <row r="68" spans="2:10" ht="15" customHeight="1" x14ac:dyDescent="0.2">
      <c r="B68" s="25" t="s">
        <v>180</v>
      </c>
      <c r="C68" s="26">
        <f>G61*(1+C67)/(C40-C67)</f>
        <v>55689.587809385688</v>
      </c>
      <c r="J68" s="24" t="s">
        <v>181</v>
      </c>
    </row>
    <row r="69" spans="2:10" ht="15" customHeight="1" x14ac:dyDescent="0.2">
      <c r="B69" s="25" t="s">
        <v>182</v>
      </c>
      <c r="C69" s="26">
        <f>C68*G65</f>
        <v>35001.11980241834</v>
      </c>
    </row>
    <row r="70" spans="2:10" ht="15" customHeight="1" x14ac:dyDescent="0.2">
      <c r="B70" s="22" t="s">
        <v>183</v>
      </c>
      <c r="C70" s="27">
        <f>SUM(C66:G66)</f>
        <v>6986.7364551993705</v>
      </c>
    </row>
    <row r="71" spans="2:10" ht="15" customHeight="1" x14ac:dyDescent="0.2">
      <c r="B71" s="25" t="s">
        <v>184</v>
      </c>
      <c r="C71" s="26">
        <f>C69+C70</f>
        <v>41987.856257617706</v>
      </c>
    </row>
    <row r="72" spans="2:10" ht="15" customHeight="1" x14ac:dyDescent="0.2">
      <c r="B72" s="22" t="s">
        <v>185</v>
      </c>
      <c r="C72" s="27">
        <f>-C26</f>
        <v>-918</v>
      </c>
    </row>
    <row r="73" spans="2:10" ht="16.5" customHeight="1" x14ac:dyDescent="0.2">
      <c r="B73" s="22" t="s">
        <v>186</v>
      </c>
      <c r="C73" s="46">
        <v>0</v>
      </c>
      <c r="D73" s="47" t="s">
        <v>187</v>
      </c>
    </row>
    <row r="74" spans="2:10" ht="16.5" customHeight="1" x14ac:dyDescent="0.2">
      <c r="B74" s="22" t="s">
        <v>188</v>
      </c>
      <c r="C74" s="46">
        <v>0</v>
      </c>
      <c r="D74" s="47" t="s">
        <v>189</v>
      </c>
    </row>
    <row r="75" spans="2:10" ht="15" customHeight="1" x14ac:dyDescent="0.2">
      <c r="B75" s="22" t="s">
        <v>190</v>
      </c>
      <c r="C75" s="27">
        <f>C27</f>
        <v>6118</v>
      </c>
    </row>
    <row r="76" spans="2:10" ht="15" customHeight="1" x14ac:dyDescent="0.2">
      <c r="B76" s="25" t="s">
        <v>191</v>
      </c>
      <c r="C76" s="26">
        <f>C71+C72+C73+C74+C75</f>
        <v>47187.856257617706</v>
      </c>
    </row>
    <row r="77" spans="2:10" ht="15" customHeight="1" x14ac:dyDescent="0.2">
      <c r="B77" s="25" t="s">
        <v>31</v>
      </c>
      <c r="C77" s="48">
        <f>C76/C24</f>
        <v>36.808000200949849</v>
      </c>
      <c r="J77" s="24" t="s">
        <v>192</v>
      </c>
    </row>
    <row r="78" spans="2:10" ht="15" customHeight="1" x14ac:dyDescent="0.2">
      <c r="B78" s="22" t="s">
        <v>32</v>
      </c>
      <c r="C78" s="49">
        <f>C23</f>
        <v>87.2</v>
      </c>
    </row>
    <row r="79" spans="2:10" ht="15" customHeight="1" x14ac:dyDescent="0.2">
      <c r="B79" s="25" t="s">
        <v>33</v>
      </c>
      <c r="C79" s="50">
        <f>C77/C78-1</f>
        <v>-0.57788990595241008</v>
      </c>
    </row>
  </sheetData>
  <mergeCells count="5">
    <mergeCell ref="B1:H1"/>
    <mergeCell ref="B2:H2"/>
    <mergeCell ref="B10:H10"/>
    <mergeCell ref="B30:H30"/>
    <mergeCell ref="B45:E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30"/>
  <sheetViews>
    <sheetView showGridLines="0" zoomScaleNormal="100" workbookViewId="0">
      <selection activeCell="C30" sqref="C30"/>
    </sheetView>
  </sheetViews>
  <sheetFormatPr baseColWidth="10" defaultColWidth="8.6640625" defaultRowHeight="15" x14ac:dyDescent="0.2"/>
  <cols>
    <col min="1" max="1" width="3" customWidth="1"/>
    <col min="2" max="2" width="26.5" customWidth="1"/>
    <col min="3" max="10" width="12" customWidth="1"/>
    <col min="11" max="11" width="8.33203125" customWidth="1"/>
    <col min="12" max="12" width="40" customWidth="1"/>
  </cols>
  <sheetData>
    <row r="1" spans="2:11" ht="19.5" customHeight="1" x14ac:dyDescent="0.2">
      <c r="B1" s="10" t="s">
        <v>193</v>
      </c>
      <c r="C1" s="10"/>
      <c r="D1" s="10"/>
      <c r="E1" s="10"/>
      <c r="F1" s="10"/>
      <c r="G1" s="10"/>
      <c r="H1" s="10"/>
      <c r="I1" s="10"/>
      <c r="J1" s="10"/>
    </row>
    <row r="2" spans="2:11" ht="16.5" customHeight="1" x14ac:dyDescent="0.2">
      <c r="B2" s="9" t="s">
        <v>194</v>
      </c>
      <c r="C2" s="9"/>
      <c r="D2" s="9"/>
      <c r="E2" s="9"/>
      <c r="F2" s="9"/>
      <c r="G2" s="9"/>
      <c r="H2" s="9"/>
      <c r="I2" s="9"/>
      <c r="J2" s="9"/>
    </row>
    <row r="3" spans="2:11" ht="7.5" customHeight="1" x14ac:dyDescent="0.2"/>
    <row r="4" spans="2:11" ht="29" customHeight="1" x14ac:dyDescent="0.2">
      <c r="B4" s="21" t="s">
        <v>2</v>
      </c>
      <c r="C4" s="21" t="s">
        <v>195</v>
      </c>
      <c r="D4" s="21" t="s">
        <v>196</v>
      </c>
      <c r="E4" s="21" t="s">
        <v>197</v>
      </c>
      <c r="F4" s="21" t="s">
        <v>198</v>
      </c>
      <c r="G4" s="21" t="s">
        <v>199</v>
      </c>
      <c r="H4" s="21" t="s">
        <v>200</v>
      </c>
      <c r="I4" s="21" t="s">
        <v>201</v>
      </c>
      <c r="J4" s="21" t="s">
        <v>202</v>
      </c>
      <c r="K4" s="21" t="s">
        <v>203</v>
      </c>
    </row>
    <row r="5" spans="2:11" ht="16.5" customHeight="1" x14ac:dyDescent="0.2">
      <c r="B5" s="25" t="s">
        <v>3</v>
      </c>
      <c r="C5" s="51" t="s">
        <v>204</v>
      </c>
      <c r="D5" s="42">
        <v>111750</v>
      </c>
      <c r="E5" s="26">
        <f>D5+918-6118</f>
        <v>106550</v>
      </c>
      <c r="F5" s="42">
        <f>Financials!F8*1.23</f>
        <v>11361.51</v>
      </c>
      <c r="G5" s="42">
        <f>F5*0.095</f>
        <v>1079.3434500000001</v>
      </c>
      <c r="H5" s="52">
        <f t="shared" ref="H5:H12" si="0">E5/F5</f>
        <v>9.3781548403337229</v>
      </c>
      <c r="I5" s="52">
        <f>IFERROR(E5/G5,0)</f>
        <v>98.717419371933929</v>
      </c>
      <c r="J5" s="52">
        <f>IFERROR(D5/(Financials!F25*1.2),0)</f>
        <v>108.79088785046729</v>
      </c>
      <c r="K5" s="53">
        <v>0.23</v>
      </c>
    </row>
    <row r="6" spans="2:11" ht="16.5" customHeight="1" x14ac:dyDescent="0.2">
      <c r="B6" s="22" t="s">
        <v>205</v>
      </c>
      <c r="C6" s="54" t="s">
        <v>206</v>
      </c>
      <c r="D6" s="23">
        <v>3850</v>
      </c>
      <c r="E6" s="27">
        <f>D6+110-320</f>
        <v>3640</v>
      </c>
      <c r="F6" s="23">
        <v>1025</v>
      </c>
      <c r="G6" s="23">
        <v>-35</v>
      </c>
      <c r="H6" s="55">
        <f t="shared" si="0"/>
        <v>3.551219512195122</v>
      </c>
      <c r="I6" s="56" t="s">
        <v>207</v>
      </c>
      <c r="J6" s="56" t="s">
        <v>207</v>
      </c>
      <c r="K6" s="32">
        <v>0.09</v>
      </c>
    </row>
    <row r="7" spans="2:11" ht="16.5" customHeight="1" x14ac:dyDescent="0.2">
      <c r="B7" s="22" t="s">
        <v>208</v>
      </c>
      <c r="C7" s="54" t="s">
        <v>209</v>
      </c>
      <c r="D7" s="23">
        <v>630</v>
      </c>
      <c r="E7" s="27">
        <f>D7+62-180</f>
        <v>512</v>
      </c>
      <c r="F7" s="23">
        <v>340</v>
      </c>
      <c r="G7" s="23">
        <v>-28</v>
      </c>
      <c r="H7" s="55">
        <f t="shared" si="0"/>
        <v>1.5058823529411764</v>
      </c>
      <c r="I7" s="56" t="s">
        <v>207</v>
      </c>
      <c r="J7" s="56" t="s">
        <v>207</v>
      </c>
      <c r="K7" s="32">
        <v>0.08</v>
      </c>
    </row>
    <row r="8" spans="2:11" ht="16.5" customHeight="1" x14ac:dyDescent="0.2">
      <c r="B8" s="22" t="s">
        <v>210</v>
      </c>
      <c r="C8" s="54" t="s">
        <v>211</v>
      </c>
      <c r="D8" s="23">
        <v>325000</v>
      </c>
      <c r="E8" s="27">
        <f>D8+9600-14100</f>
        <v>320500</v>
      </c>
      <c r="F8" s="23">
        <v>38500</v>
      </c>
      <c r="G8" s="23">
        <v>13200</v>
      </c>
      <c r="H8" s="55">
        <f t="shared" si="0"/>
        <v>8.324675324675324</v>
      </c>
      <c r="I8" s="55">
        <f>IFERROR(E8/G8,0)</f>
        <v>24.280303030303031</v>
      </c>
      <c r="J8" s="55">
        <v>32</v>
      </c>
      <c r="K8" s="32">
        <v>0.09</v>
      </c>
    </row>
    <row r="9" spans="2:11" ht="16.5" customHeight="1" x14ac:dyDescent="0.2">
      <c r="B9" s="22" t="s">
        <v>212</v>
      </c>
      <c r="C9" s="54" t="s">
        <v>213</v>
      </c>
      <c r="D9" s="23">
        <v>28500</v>
      </c>
      <c r="E9" s="27">
        <f>D9+360-1700</f>
        <v>27160</v>
      </c>
      <c r="F9" s="23">
        <v>2850</v>
      </c>
      <c r="G9" s="23">
        <v>520</v>
      </c>
      <c r="H9" s="55">
        <f t="shared" si="0"/>
        <v>9.5298245614035082</v>
      </c>
      <c r="I9" s="55">
        <f>IFERROR(E9/G9,0)</f>
        <v>52.230769230769234</v>
      </c>
      <c r="J9" s="55">
        <v>55</v>
      </c>
      <c r="K9" s="32">
        <v>0.18</v>
      </c>
    </row>
    <row r="10" spans="2:11" ht="16.5" customHeight="1" x14ac:dyDescent="0.2">
      <c r="B10" s="22" t="s">
        <v>214</v>
      </c>
      <c r="C10" s="54" t="s">
        <v>215</v>
      </c>
      <c r="D10" s="23">
        <v>8900</v>
      </c>
      <c r="E10" s="27">
        <f>D10+0-1100</f>
        <v>7800</v>
      </c>
      <c r="F10" s="23">
        <v>1780</v>
      </c>
      <c r="G10" s="23">
        <v>310</v>
      </c>
      <c r="H10" s="55">
        <f t="shared" si="0"/>
        <v>4.382022471910112</v>
      </c>
      <c r="I10" s="55">
        <f>IFERROR(E10/G10,0)</f>
        <v>25.161290322580644</v>
      </c>
      <c r="J10" s="55">
        <v>38</v>
      </c>
      <c r="K10" s="32">
        <v>0.13</v>
      </c>
    </row>
    <row r="11" spans="2:11" ht="16.5" customHeight="1" x14ac:dyDescent="0.2">
      <c r="B11" s="22" t="s">
        <v>216</v>
      </c>
      <c r="C11" s="54" t="s">
        <v>217</v>
      </c>
      <c r="D11" s="23">
        <v>2100</v>
      </c>
      <c r="E11" s="27">
        <f>D11+200-450</f>
        <v>1850</v>
      </c>
      <c r="F11" s="23">
        <v>1050</v>
      </c>
      <c r="G11" s="23">
        <v>-20</v>
      </c>
      <c r="H11" s="55">
        <f t="shared" si="0"/>
        <v>1.7619047619047619</v>
      </c>
      <c r="I11" s="56" t="s">
        <v>207</v>
      </c>
      <c r="J11" s="56" t="s">
        <v>207</v>
      </c>
      <c r="K11" s="32">
        <v>0.15</v>
      </c>
    </row>
    <row r="12" spans="2:11" ht="16.5" customHeight="1" x14ac:dyDescent="0.2">
      <c r="B12" s="22" t="s">
        <v>218</v>
      </c>
      <c r="C12" s="54" t="s">
        <v>219</v>
      </c>
      <c r="D12" s="23">
        <v>14200</v>
      </c>
      <c r="E12" s="27">
        <f>D12+0-1200</f>
        <v>13000</v>
      </c>
      <c r="F12" s="23">
        <v>1450</v>
      </c>
      <c r="G12" s="23">
        <v>80</v>
      </c>
      <c r="H12" s="55">
        <f t="shared" si="0"/>
        <v>8.9655172413793096</v>
      </c>
      <c r="I12" s="55">
        <f>IFERROR(E12/G12,0)</f>
        <v>162.5</v>
      </c>
      <c r="J12" s="55">
        <v>95</v>
      </c>
      <c r="K12" s="32">
        <v>0.2</v>
      </c>
    </row>
    <row r="13" spans="2:11" ht="25.5" customHeight="1" x14ac:dyDescent="0.2">
      <c r="B13" s="7" t="s">
        <v>220</v>
      </c>
      <c r="C13" s="7"/>
      <c r="D13" s="7"/>
      <c r="E13" s="7"/>
      <c r="F13" s="7"/>
      <c r="G13" s="7"/>
      <c r="H13" s="7"/>
      <c r="I13" s="7"/>
      <c r="J13" s="7"/>
    </row>
    <row r="14" spans="2:11" ht="7.5" customHeight="1" x14ac:dyDescent="0.2"/>
    <row r="15" spans="2:11" ht="16.5" customHeight="1" x14ac:dyDescent="0.2">
      <c r="B15" s="9" t="s">
        <v>221</v>
      </c>
      <c r="C15" s="9"/>
      <c r="D15" s="9"/>
      <c r="E15" s="9"/>
      <c r="F15" s="9"/>
      <c r="G15" s="9"/>
      <c r="H15" s="9"/>
      <c r="I15" s="9"/>
      <c r="J15" s="9"/>
    </row>
    <row r="16" spans="2:11" ht="18" customHeight="1" x14ac:dyDescent="0.2">
      <c r="B16" s="21" t="s">
        <v>222</v>
      </c>
      <c r="C16" s="21" t="s">
        <v>223</v>
      </c>
      <c r="D16" s="21" t="s">
        <v>224</v>
      </c>
      <c r="E16" s="21" t="s">
        <v>225</v>
      </c>
      <c r="F16" s="21" t="s">
        <v>226</v>
      </c>
      <c r="G16" s="21" t="s">
        <v>227</v>
      </c>
      <c r="H16" s="21" t="s">
        <v>228</v>
      </c>
    </row>
    <row r="17" spans="2:8" ht="16.5" customHeight="1" x14ac:dyDescent="0.2">
      <c r="B17" s="13" t="s">
        <v>229</v>
      </c>
      <c r="C17" s="55">
        <f>MIN(H6:H12)</f>
        <v>1.5058823529411764</v>
      </c>
      <c r="D17" s="55">
        <f>PERCENTILE(H6:H12,0.25)</f>
        <v>2.6565621370499422</v>
      </c>
      <c r="E17" s="55">
        <f>MEDIAN(H6:H12)</f>
        <v>4.382022471910112</v>
      </c>
      <c r="F17" s="55">
        <f>PERCENTILE(H6:H12,0.75)</f>
        <v>8.6450962830273177</v>
      </c>
      <c r="G17" s="55">
        <f>MAX(H6:H12)</f>
        <v>9.5298245614035082</v>
      </c>
      <c r="H17" s="55">
        <f>AVERAGE(H6:H12)</f>
        <v>5.4315780323441869</v>
      </c>
    </row>
    <row r="18" spans="2:8" ht="16.5" customHeight="1" x14ac:dyDescent="0.2">
      <c r="B18" s="13" t="s">
        <v>230</v>
      </c>
      <c r="C18" s="28">
        <f>MIN(K6:K12)</f>
        <v>0.08</v>
      </c>
      <c r="D18" s="28">
        <f>PERCENTILE(K6:K12,0.25)</f>
        <v>0.09</v>
      </c>
      <c r="E18" s="28">
        <f>MEDIAN(K6:K12)</f>
        <v>0.13</v>
      </c>
      <c r="F18" s="28">
        <f>PERCENTILE(K6:K12,0.75)</f>
        <v>0.16499999999999998</v>
      </c>
      <c r="G18" s="28">
        <f>MAX(K6:K12)</f>
        <v>0.2</v>
      </c>
      <c r="H18" s="28">
        <f>AVERAGE(K6:K12)</f>
        <v>0.13142857142857145</v>
      </c>
    </row>
    <row r="19" spans="2:8" ht="7.5" customHeight="1" x14ac:dyDescent="0.2"/>
    <row r="20" spans="2:8" ht="16.5" customHeight="1" x14ac:dyDescent="0.2">
      <c r="B20" s="9" t="s">
        <v>231</v>
      </c>
      <c r="C20" s="9"/>
      <c r="D20" s="9"/>
      <c r="E20" s="9"/>
      <c r="F20" s="9"/>
    </row>
    <row r="21" spans="2:8" ht="18" customHeight="1" x14ac:dyDescent="0.2">
      <c r="B21" s="21" t="s">
        <v>232</v>
      </c>
      <c r="C21" s="21" t="s">
        <v>233</v>
      </c>
      <c r="D21" s="21" t="s">
        <v>234</v>
      </c>
      <c r="E21" s="21" t="s">
        <v>235</v>
      </c>
      <c r="F21" s="21" t="s">
        <v>236</v>
      </c>
    </row>
    <row r="22" spans="2:8" ht="16.5" customHeight="1" x14ac:dyDescent="0.2">
      <c r="B22" s="13" t="s">
        <v>237</v>
      </c>
      <c r="C22" s="55">
        <f>E17</f>
        <v>4.382022471910112</v>
      </c>
      <c r="D22" s="57">
        <f>Financials!F8*1.23</f>
        <v>11361.51</v>
      </c>
      <c r="E22" s="26">
        <f>C22*D22</f>
        <v>49786.392134831454</v>
      </c>
      <c r="F22" s="58">
        <f>(E22+'DCF Model'!C27-'DCF Model'!C26)/'DCF Model'!C24</f>
        <v>42.891101509228903</v>
      </c>
    </row>
    <row r="23" spans="2:8" ht="16.5" customHeight="1" x14ac:dyDescent="0.2">
      <c r="B23" s="22" t="s">
        <v>238</v>
      </c>
      <c r="C23" s="55">
        <f>F17</f>
        <v>8.6450962830273177</v>
      </c>
      <c r="D23" s="57">
        <f>Financials!F8*1.23</f>
        <v>11361.51</v>
      </c>
      <c r="E23" s="27">
        <f>C23*D23</f>
        <v>98221.347870577709</v>
      </c>
      <c r="F23" s="16">
        <f>(E23+'DCF Model'!C27-'DCF Model'!C26)/'DCF Model'!C24</f>
        <v>80.671878214179173</v>
      </c>
    </row>
    <row r="24" spans="2:8" ht="16.5" customHeight="1" x14ac:dyDescent="0.2">
      <c r="B24" s="22" t="s">
        <v>239</v>
      </c>
      <c r="C24" s="55">
        <f>H17</f>
        <v>5.4315780323441869</v>
      </c>
      <c r="D24" s="57">
        <f>Financials!F8*1.23</f>
        <v>11361.51</v>
      </c>
      <c r="E24" s="27">
        <f>C24*D24</f>
        <v>61710.928130258806</v>
      </c>
      <c r="F24" s="16">
        <f>(E24+'DCF Model'!C27-'DCF Model'!C26)/'DCF Model'!C24</f>
        <v>52.192611646067711</v>
      </c>
    </row>
    <row r="25" spans="2:8" ht="16.5" customHeight="1" x14ac:dyDescent="0.2">
      <c r="B25" s="25" t="s">
        <v>240</v>
      </c>
      <c r="C25" s="42">
        <f>'DCF Model'!C10</f>
        <v>0</v>
      </c>
    </row>
    <row r="30" spans="2:8" ht="16.5" customHeight="1" x14ac:dyDescent="0.2">
      <c r="B30" s="25" t="s">
        <v>241</v>
      </c>
      <c r="C30" s="26">
        <f>E22</f>
        <v>49786.392134831454</v>
      </c>
    </row>
  </sheetData>
  <mergeCells count="5">
    <mergeCell ref="B1:J1"/>
    <mergeCell ref="B2:J2"/>
    <mergeCell ref="B13:J13"/>
    <mergeCell ref="B15:J15"/>
    <mergeCell ref="B20:F20"/>
  </mergeCells>
  <pageMargins left="0.75" right="0.75" top="1" bottom="1" header="0.511811023622047" footer="0.511811023622047"/>
  <pageSetup paperSize="9" orientation="portrait" horizontalDpi="300" verticalDpi="300"/>
  <ignoredErrors>
    <ignoredError sqref="C18:H18"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1"/>
  <sheetViews>
    <sheetView showGridLines="0" zoomScaleNormal="100" workbookViewId="0">
      <selection activeCell="H10" sqref="H10"/>
    </sheetView>
  </sheetViews>
  <sheetFormatPr baseColWidth="10" defaultColWidth="8.6640625" defaultRowHeight="15" x14ac:dyDescent="0.2"/>
  <cols>
    <col min="1" max="1" width="3" customWidth="1"/>
    <col min="2" max="2" width="22" customWidth="1"/>
    <col min="3" max="3" width="20" customWidth="1"/>
    <col min="4" max="4" width="10" customWidth="1"/>
    <col min="5" max="6" width="14" customWidth="1"/>
    <col min="7" max="8" width="12" customWidth="1"/>
    <col min="9" max="9" width="13" bestFit="1" customWidth="1"/>
    <col min="10" max="10" width="44" customWidth="1"/>
  </cols>
  <sheetData>
    <row r="1" spans="2:10" ht="19.5" customHeight="1" x14ac:dyDescent="0.2">
      <c r="B1" s="10" t="s">
        <v>242</v>
      </c>
      <c r="C1" s="10"/>
      <c r="D1" s="10"/>
      <c r="E1" s="10"/>
      <c r="F1" s="10"/>
      <c r="G1" s="10"/>
      <c r="H1" s="10"/>
    </row>
    <row r="2" spans="2:10" ht="16.5" customHeight="1" x14ac:dyDescent="0.2">
      <c r="B2" s="9" t="s">
        <v>243</v>
      </c>
      <c r="C2" s="9"/>
      <c r="D2" s="9"/>
      <c r="E2" s="9"/>
      <c r="F2" s="9"/>
      <c r="G2" s="9"/>
      <c r="H2" s="9"/>
    </row>
    <row r="3" spans="2:10" ht="7.5" customHeight="1" x14ac:dyDescent="0.2"/>
    <row r="4" spans="2:10" ht="27" customHeight="1" x14ac:dyDescent="0.2">
      <c r="B4" s="21" t="s">
        <v>244</v>
      </c>
      <c r="C4" s="21" t="s">
        <v>245</v>
      </c>
      <c r="D4" s="21" t="s">
        <v>246</v>
      </c>
      <c r="E4" s="21" t="s">
        <v>247</v>
      </c>
      <c r="F4" s="21" t="s">
        <v>248</v>
      </c>
      <c r="G4" s="21" t="s">
        <v>249</v>
      </c>
      <c r="H4" s="21" t="s">
        <v>250</v>
      </c>
      <c r="I4" s="21" t="s">
        <v>251</v>
      </c>
    </row>
    <row r="5" spans="2:10" ht="25.5" customHeight="1" x14ac:dyDescent="0.2">
      <c r="B5" s="59" t="s">
        <v>252</v>
      </c>
      <c r="C5" s="59" t="s">
        <v>253</v>
      </c>
      <c r="D5" s="60">
        <v>2021</v>
      </c>
      <c r="E5" s="23">
        <v>29000</v>
      </c>
      <c r="F5" s="23">
        <v>924</v>
      </c>
      <c r="G5" s="55">
        <f t="shared" ref="G5:G11" si="0">E5/F5</f>
        <v>31.385281385281385</v>
      </c>
      <c r="H5" s="55">
        <v>38</v>
      </c>
      <c r="J5" s="24" t="s">
        <v>254</v>
      </c>
    </row>
    <row r="6" spans="2:10" ht="25.5" customHeight="1" x14ac:dyDescent="0.2">
      <c r="B6" s="59" t="s">
        <v>255</v>
      </c>
      <c r="C6" s="59" t="s">
        <v>256</v>
      </c>
      <c r="D6" s="60">
        <v>2018</v>
      </c>
      <c r="E6" s="23">
        <v>1680</v>
      </c>
      <c r="F6" s="23">
        <v>156</v>
      </c>
      <c r="G6" s="55">
        <f t="shared" si="0"/>
        <v>10.76923076923077</v>
      </c>
      <c r="H6" s="55">
        <v>22</v>
      </c>
      <c r="J6" s="24" t="s">
        <v>257</v>
      </c>
    </row>
    <row r="7" spans="2:10" ht="25.5" customHeight="1" x14ac:dyDescent="0.2">
      <c r="B7" s="59" t="s">
        <v>258</v>
      </c>
      <c r="C7" s="59" t="s">
        <v>259</v>
      </c>
      <c r="D7" s="60">
        <v>2013</v>
      </c>
      <c r="E7" s="23">
        <v>800</v>
      </c>
      <c r="F7" s="23">
        <v>65</v>
      </c>
      <c r="G7" s="55">
        <f t="shared" si="0"/>
        <v>12.307692307692308</v>
      </c>
      <c r="H7" s="55">
        <v>0</v>
      </c>
      <c r="J7" s="24" t="s">
        <v>260</v>
      </c>
    </row>
    <row r="8" spans="2:10" ht="25.5" customHeight="1" x14ac:dyDescent="0.2">
      <c r="B8" s="59" t="s">
        <v>261</v>
      </c>
      <c r="C8" s="59" t="s">
        <v>262</v>
      </c>
      <c r="D8" s="60">
        <v>2019</v>
      </c>
      <c r="E8" s="23">
        <v>3000</v>
      </c>
      <c r="F8" s="23">
        <v>142</v>
      </c>
      <c r="G8" s="55">
        <f t="shared" si="0"/>
        <v>21.12676056338028</v>
      </c>
      <c r="H8" s="55">
        <v>0</v>
      </c>
      <c r="J8" s="24" t="s">
        <v>263</v>
      </c>
    </row>
    <row r="9" spans="2:10" ht="25.5" customHeight="1" x14ac:dyDescent="0.2">
      <c r="B9" s="59" t="s">
        <v>264</v>
      </c>
      <c r="C9" s="59" t="s">
        <v>210</v>
      </c>
      <c r="D9" s="60">
        <v>2016</v>
      </c>
      <c r="E9" s="23">
        <v>2800</v>
      </c>
      <c r="F9" s="23">
        <v>200</v>
      </c>
      <c r="G9" s="55">
        <f t="shared" si="0"/>
        <v>14</v>
      </c>
      <c r="H9" s="55">
        <v>0</v>
      </c>
      <c r="J9" s="24" t="s">
        <v>265</v>
      </c>
    </row>
    <row r="10" spans="2:10" ht="25.5" customHeight="1" x14ac:dyDescent="0.2">
      <c r="B10" s="59" t="s">
        <v>266</v>
      </c>
      <c r="C10" s="59" t="s">
        <v>267</v>
      </c>
      <c r="D10" s="60">
        <v>2022</v>
      </c>
      <c r="E10" s="23">
        <v>725</v>
      </c>
      <c r="F10" s="23">
        <v>148</v>
      </c>
      <c r="G10" s="55">
        <f t="shared" si="0"/>
        <v>4.8986486486486482</v>
      </c>
      <c r="H10" s="55" t="s">
        <v>268</v>
      </c>
      <c r="J10" s="24" t="s">
        <v>269</v>
      </c>
    </row>
    <row r="11" spans="2:10" ht="25.5" customHeight="1" x14ac:dyDescent="0.2">
      <c r="B11" s="59" t="s">
        <v>270</v>
      </c>
      <c r="C11" s="59" t="s">
        <v>271</v>
      </c>
      <c r="D11" s="60">
        <v>2024</v>
      </c>
      <c r="E11" s="23">
        <v>6300</v>
      </c>
      <c r="F11" s="23">
        <v>1180</v>
      </c>
      <c r="G11" s="55">
        <f t="shared" si="0"/>
        <v>5.3389830508474576</v>
      </c>
      <c r="H11" s="55">
        <v>18</v>
      </c>
      <c r="J11" s="24" t="s">
        <v>272</v>
      </c>
    </row>
    <row r="12" spans="2:10" ht="7.5" customHeight="1" x14ac:dyDescent="0.2"/>
    <row r="13" spans="2:10" ht="16.5" customHeight="1" x14ac:dyDescent="0.2">
      <c r="B13" s="9" t="s">
        <v>273</v>
      </c>
      <c r="C13" s="9"/>
      <c r="D13" s="9"/>
      <c r="E13" s="9"/>
      <c r="F13" s="9"/>
      <c r="G13" s="9"/>
      <c r="H13" s="9"/>
    </row>
    <row r="14" spans="2:10" ht="18" customHeight="1" x14ac:dyDescent="0.2">
      <c r="B14" s="21" t="s">
        <v>222</v>
      </c>
      <c r="C14" s="21" t="s">
        <v>223</v>
      </c>
      <c r="D14" s="21" t="s">
        <v>225</v>
      </c>
      <c r="E14" s="21" t="s">
        <v>228</v>
      </c>
      <c r="F14" s="21" t="s">
        <v>227</v>
      </c>
    </row>
    <row r="15" spans="2:10" ht="16.5" customHeight="1" x14ac:dyDescent="0.2">
      <c r="B15" s="13" t="s">
        <v>274</v>
      </c>
      <c r="C15" s="55">
        <f>MIN(G5:G8,G10:G11)</f>
        <v>4.8986486486486482</v>
      </c>
      <c r="D15" s="55">
        <f>MEDIAN(G5:G8,G10:G11)</f>
        <v>11.53846153846154</v>
      </c>
      <c r="E15" s="55">
        <f>AVERAGE(G5:G8,G10:G11)</f>
        <v>14.304432787513475</v>
      </c>
      <c r="F15" s="55">
        <f>MAX(G5:G8,G10:G11)</f>
        <v>31.385281385281385</v>
      </c>
    </row>
    <row r="16" spans="2:10" ht="7.5" customHeight="1" x14ac:dyDescent="0.2"/>
    <row r="17" spans="2:8" ht="16.5" customHeight="1" x14ac:dyDescent="0.2">
      <c r="B17" s="9" t="s">
        <v>275</v>
      </c>
      <c r="C17" s="9"/>
      <c r="D17" s="9"/>
      <c r="E17" s="9"/>
      <c r="F17" s="9"/>
      <c r="G17" s="9"/>
      <c r="H17" s="9"/>
    </row>
    <row r="18" spans="2:8" ht="16.5" customHeight="1" x14ac:dyDescent="0.2">
      <c r="B18" s="13" t="s">
        <v>276</v>
      </c>
      <c r="C18" s="57">
        <f>Financials!F8</f>
        <v>9237</v>
      </c>
    </row>
    <row r="19" spans="2:8" ht="16.5" customHeight="1" x14ac:dyDescent="0.2">
      <c r="B19" s="13" t="s">
        <v>277</v>
      </c>
      <c r="C19" s="55">
        <f>D15</f>
        <v>11.53846153846154</v>
      </c>
    </row>
    <row r="20" spans="2:8" ht="16.5" customHeight="1" x14ac:dyDescent="0.2">
      <c r="B20" s="25" t="s">
        <v>278</v>
      </c>
      <c r="C20" s="26">
        <f>C18*C19</f>
        <v>106580.76923076925</v>
      </c>
    </row>
    <row r="21" spans="2:8" ht="16.5" customHeight="1" x14ac:dyDescent="0.2">
      <c r="B21" s="25" t="s">
        <v>279</v>
      </c>
      <c r="C21" s="58">
        <f>(C20+'DCF Model'!C27-'DCF Model'!C26)/'DCF Model'!C24</f>
        <v>87.192487699507993</v>
      </c>
    </row>
  </sheetData>
  <mergeCells count="4">
    <mergeCell ref="B1:H1"/>
    <mergeCell ref="B2:H2"/>
    <mergeCell ref="B13:H13"/>
    <mergeCell ref="B17:H17"/>
  </mergeCells>
  <pageMargins left="0.75" right="0.75" top="1" bottom="1" header="0.511811023622047" footer="0.511811023622047"/>
  <pageSetup paperSize="9" orientation="portrait" horizontalDpi="300" verticalDpi="300"/>
  <ignoredErrors>
    <ignoredError sqref="H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42"/>
  <sheetViews>
    <sheetView showGridLines="0" topLeftCell="A21" zoomScaleNormal="100" workbookViewId="0">
      <selection activeCell="D7" sqref="D7"/>
    </sheetView>
  </sheetViews>
  <sheetFormatPr baseColWidth="10" defaultColWidth="8.6640625" defaultRowHeight="15" x14ac:dyDescent="0.2"/>
  <cols>
    <col min="1" max="1" width="3" customWidth="1"/>
    <col min="2" max="2" width="36" customWidth="1"/>
    <col min="3" max="3" width="18" customWidth="1"/>
    <col min="4" max="4" width="48.5" customWidth="1"/>
    <col min="5" max="5" width="36" customWidth="1"/>
    <col min="6" max="6" width="3" customWidth="1"/>
  </cols>
  <sheetData>
    <row r="1" spans="2:5" ht="19.5" customHeight="1" x14ac:dyDescent="0.2">
      <c r="B1" s="10" t="s">
        <v>280</v>
      </c>
      <c r="C1" s="10"/>
      <c r="D1" s="10"/>
      <c r="E1" s="10"/>
    </row>
    <row r="2" spans="2:5" ht="16.5" customHeight="1" x14ac:dyDescent="0.2">
      <c r="B2" s="9" t="s">
        <v>281</v>
      </c>
      <c r="C2" s="9"/>
      <c r="D2" s="9"/>
      <c r="E2" s="9"/>
    </row>
    <row r="3" spans="2:5" ht="7.5" customHeight="1" x14ac:dyDescent="0.2"/>
    <row r="4" spans="2:5" ht="16.5" customHeight="1" x14ac:dyDescent="0.2">
      <c r="B4" s="9" t="s">
        <v>282</v>
      </c>
      <c r="C4" s="9"/>
      <c r="D4" s="9"/>
      <c r="E4" s="9"/>
    </row>
    <row r="5" spans="2:5" ht="21.75" customHeight="1" x14ac:dyDescent="0.2">
      <c r="B5" s="22" t="s">
        <v>283</v>
      </c>
      <c r="C5" s="22" t="s">
        <v>284</v>
      </c>
      <c r="D5" s="61" t="s">
        <v>285</v>
      </c>
    </row>
    <row r="6" spans="2:5" ht="21.75" customHeight="1" x14ac:dyDescent="0.2">
      <c r="B6" s="22" t="s">
        <v>195</v>
      </c>
      <c r="C6" s="22" t="s">
        <v>286</v>
      </c>
      <c r="D6" s="61" t="s">
        <v>287</v>
      </c>
    </row>
    <row r="7" spans="2:5" ht="21.75" customHeight="1" x14ac:dyDescent="0.2">
      <c r="B7" s="22" t="s">
        <v>288</v>
      </c>
      <c r="C7" s="23">
        <v>805</v>
      </c>
      <c r="D7" s="61" t="s">
        <v>289</v>
      </c>
    </row>
    <row r="8" spans="2:5" ht="21.75" customHeight="1" x14ac:dyDescent="0.2">
      <c r="B8" s="22" t="s">
        <v>290</v>
      </c>
      <c r="C8" s="32">
        <v>0.34</v>
      </c>
      <c r="D8" s="61" t="s">
        <v>291</v>
      </c>
    </row>
    <row r="9" spans="2:5" ht="21.75" customHeight="1" x14ac:dyDescent="0.2">
      <c r="B9" s="22" t="s">
        <v>292</v>
      </c>
      <c r="C9" s="32">
        <v>0.75700000000000001</v>
      </c>
      <c r="D9" s="61" t="s">
        <v>293</v>
      </c>
    </row>
    <row r="10" spans="2:5" ht="21.75" customHeight="1" x14ac:dyDescent="0.2">
      <c r="B10" s="22" t="s">
        <v>294</v>
      </c>
      <c r="C10" s="23">
        <v>6200</v>
      </c>
      <c r="D10" s="61" t="s">
        <v>295</v>
      </c>
    </row>
    <row r="11" spans="2:5" ht="21.75" customHeight="1" x14ac:dyDescent="0.2">
      <c r="B11" s="22" t="s">
        <v>296</v>
      </c>
      <c r="C11" s="23">
        <v>550</v>
      </c>
      <c r="D11" s="61" t="s">
        <v>297</v>
      </c>
    </row>
    <row r="12" spans="2:5" ht="21.75" customHeight="1" x14ac:dyDescent="0.2">
      <c r="B12" s="25" t="s">
        <v>298</v>
      </c>
      <c r="C12" s="26">
        <f>C10-C11</f>
        <v>5650</v>
      </c>
      <c r="D12" s="61" t="s">
        <v>299</v>
      </c>
    </row>
    <row r="13" spans="2:5" ht="21.75" customHeight="1" x14ac:dyDescent="0.2">
      <c r="B13" s="25" t="s">
        <v>300</v>
      </c>
      <c r="C13" s="52">
        <f>C12/C7</f>
        <v>7.0186335403726705</v>
      </c>
      <c r="D13" s="61" t="s">
        <v>51</v>
      </c>
    </row>
    <row r="14" spans="2:5" ht="7.5" customHeight="1" x14ac:dyDescent="0.2"/>
    <row r="15" spans="2:5" ht="16.5" customHeight="1" x14ac:dyDescent="0.2">
      <c r="B15" s="9" t="s">
        <v>301</v>
      </c>
      <c r="C15" s="9"/>
      <c r="D15" s="9"/>
      <c r="E15" s="9"/>
    </row>
    <row r="16" spans="2:5" ht="21.75" customHeight="1" x14ac:dyDescent="0.2">
      <c r="B16" s="22" t="s">
        <v>302</v>
      </c>
      <c r="C16" s="32">
        <v>0.35</v>
      </c>
      <c r="D16" s="61" t="s">
        <v>303</v>
      </c>
    </row>
    <row r="17" spans="2:5" ht="21.75" customHeight="1" x14ac:dyDescent="0.2">
      <c r="B17" s="22" t="s">
        <v>304</v>
      </c>
      <c r="C17" s="49">
        <f>C10/Financials!F37*(1+C16)</f>
        <v>6.5288611544461785</v>
      </c>
      <c r="D17" s="61" t="s">
        <v>305</v>
      </c>
    </row>
    <row r="18" spans="2:5" ht="21.75" customHeight="1" x14ac:dyDescent="0.2">
      <c r="B18" s="25" t="s">
        <v>306</v>
      </c>
      <c r="C18" s="26">
        <f>C10*(1+C16)</f>
        <v>8370</v>
      </c>
      <c r="D18" s="61" t="s">
        <v>51</v>
      </c>
    </row>
    <row r="19" spans="2:5" ht="21.75" customHeight="1" x14ac:dyDescent="0.2">
      <c r="B19" s="22" t="s">
        <v>307</v>
      </c>
      <c r="C19" s="23">
        <v>0</v>
      </c>
      <c r="D19" s="61" t="s">
        <v>308</v>
      </c>
    </row>
    <row r="20" spans="2:5" ht="21.75" customHeight="1" x14ac:dyDescent="0.2">
      <c r="B20" s="25" t="s">
        <v>309</v>
      </c>
      <c r="C20" s="26">
        <f>C18-C11</f>
        <v>7820</v>
      </c>
      <c r="D20" s="61" t="s">
        <v>310</v>
      </c>
    </row>
    <row r="21" spans="2:5" ht="21.75" customHeight="1" x14ac:dyDescent="0.2">
      <c r="B21" s="25" t="s">
        <v>311</v>
      </c>
      <c r="C21" s="52">
        <f>C20/C7</f>
        <v>9.7142857142857135</v>
      </c>
      <c r="D21" s="61" t="s">
        <v>312</v>
      </c>
    </row>
    <row r="22" spans="2:5" ht="21.75" customHeight="1" x14ac:dyDescent="0.2">
      <c r="B22" s="22" t="s">
        <v>313</v>
      </c>
      <c r="C22" s="32">
        <v>1</v>
      </c>
      <c r="D22" s="61" t="s">
        <v>314</v>
      </c>
    </row>
    <row r="23" spans="2:5" ht="21.75" customHeight="1" x14ac:dyDescent="0.2">
      <c r="B23" s="22" t="s">
        <v>315</v>
      </c>
      <c r="C23" s="28">
        <f>1-C22</f>
        <v>0</v>
      </c>
      <c r="D23" s="61" t="s">
        <v>316</v>
      </c>
    </row>
    <row r="24" spans="2:5" ht="21.75" customHeight="1" x14ac:dyDescent="0.2">
      <c r="B24" s="22" t="s">
        <v>317</v>
      </c>
      <c r="C24" s="62">
        <f>C18*C23/'DCF Model'!C5</f>
        <v>0</v>
      </c>
      <c r="D24" s="61" t="s">
        <v>318</v>
      </c>
    </row>
    <row r="25" spans="2:5" ht="7.5" customHeight="1" x14ac:dyDescent="0.2"/>
    <row r="26" spans="2:5" ht="15" customHeight="1" x14ac:dyDescent="0.2">
      <c r="B26" s="9" t="s">
        <v>319</v>
      </c>
      <c r="C26" s="9"/>
      <c r="D26" s="9"/>
      <c r="E26" s="9"/>
    </row>
    <row r="27" spans="2:5" ht="25.5" customHeight="1" x14ac:dyDescent="0.2">
      <c r="B27" s="22" t="s">
        <v>320</v>
      </c>
      <c r="C27" s="23">
        <v>120</v>
      </c>
      <c r="D27" s="61" t="s">
        <v>321</v>
      </c>
    </row>
    <row r="28" spans="2:5" ht="25.5" customHeight="1" x14ac:dyDescent="0.2">
      <c r="B28" s="22" t="s">
        <v>322</v>
      </c>
      <c r="C28" s="23">
        <v>350</v>
      </c>
      <c r="D28" s="61" t="s">
        <v>323</v>
      </c>
    </row>
    <row r="29" spans="2:5" ht="25.5" customHeight="1" x14ac:dyDescent="0.2">
      <c r="B29" s="22" t="s">
        <v>324</v>
      </c>
      <c r="C29" s="23">
        <v>45</v>
      </c>
      <c r="D29" s="61" t="s">
        <v>325</v>
      </c>
    </row>
    <row r="30" spans="2:5" ht="25.5" customHeight="1" x14ac:dyDescent="0.2">
      <c r="B30" s="22" t="s">
        <v>326</v>
      </c>
      <c r="C30" s="23">
        <v>95</v>
      </c>
      <c r="D30" s="61" t="s">
        <v>327</v>
      </c>
    </row>
    <row r="31" spans="2:5" ht="25.5" customHeight="1" x14ac:dyDescent="0.2">
      <c r="B31" s="25" t="s">
        <v>328</v>
      </c>
      <c r="C31" s="26">
        <f>C28+C30</f>
        <v>445</v>
      </c>
      <c r="D31" s="61" t="s">
        <v>329</v>
      </c>
    </row>
    <row r="32" spans="2:5" ht="25.5" customHeight="1" x14ac:dyDescent="0.2">
      <c r="B32" s="25" t="s">
        <v>330</v>
      </c>
      <c r="C32" s="26">
        <f>C31*6.5</f>
        <v>2892.5</v>
      </c>
      <c r="D32" s="61" t="s">
        <v>331</v>
      </c>
    </row>
    <row r="33" spans="2:5" ht="7.5" customHeight="1" x14ac:dyDescent="0.2"/>
    <row r="34" spans="2:5" ht="16.5" customHeight="1" x14ac:dyDescent="0.2">
      <c r="B34" s="9" t="s">
        <v>332</v>
      </c>
      <c r="C34" s="9"/>
      <c r="D34" s="9"/>
      <c r="E34" s="9"/>
    </row>
    <row r="35" spans="2:5" ht="21.75" customHeight="1" x14ac:dyDescent="0.2">
      <c r="B35" s="22" t="s">
        <v>333</v>
      </c>
      <c r="C35" s="49">
        <f>Financials!F25/'DCF Model'!C6*1.2</f>
        <v>12840</v>
      </c>
      <c r="D35" s="61" t="s">
        <v>334</v>
      </c>
    </row>
    <row r="36" spans="2:5" ht="21.75" customHeight="1" x14ac:dyDescent="0.2">
      <c r="B36" s="22" t="s">
        <v>335</v>
      </c>
      <c r="C36" s="27">
        <f>C7*1.34*0.08</f>
        <v>86.296000000000006</v>
      </c>
      <c r="D36" s="61" t="s">
        <v>336</v>
      </c>
    </row>
    <row r="37" spans="2:5" ht="21.75" customHeight="1" x14ac:dyDescent="0.2">
      <c r="B37" s="22" t="s">
        <v>337</v>
      </c>
      <c r="C37" s="27">
        <f>C27*0.75+C29*0.75</f>
        <v>123.75</v>
      </c>
      <c r="D37" s="61" t="s">
        <v>338</v>
      </c>
    </row>
    <row r="38" spans="2:5" ht="21.75" customHeight="1" x14ac:dyDescent="0.2">
      <c r="B38" s="22" t="s">
        <v>339</v>
      </c>
      <c r="C38" s="27">
        <f>-C18*C22*0.045</f>
        <v>-376.65</v>
      </c>
      <c r="D38" s="61" t="s">
        <v>340</v>
      </c>
    </row>
    <row r="39" spans="2:5" ht="21.75" customHeight="1" x14ac:dyDescent="0.2">
      <c r="B39" s="22" t="s">
        <v>341</v>
      </c>
      <c r="C39" s="27">
        <f>'DCF Model'!C6*C35+C36+C37+C38</f>
        <v>860.59600000000012</v>
      </c>
      <c r="D39" s="61" t="s">
        <v>342</v>
      </c>
    </row>
    <row r="40" spans="2:5" ht="21.75" customHeight="1" x14ac:dyDescent="0.2">
      <c r="B40" s="22" t="s">
        <v>343</v>
      </c>
      <c r="C40" s="62">
        <f>'DCF Model'!C6+C24</f>
        <v>0.08</v>
      </c>
      <c r="D40" s="61" t="s">
        <v>344</v>
      </c>
    </row>
    <row r="41" spans="2:5" ht="21.75" customHeight="1" x14ac:dyDescent="0.2">
      <c r="B41" s="25" t="s">
        <v>345</v>
      </c>
      <c r="C41" s="48">
        <f>C39/C40</f>
        <v>10757.45</v>
      </c>
      <c r="D41" s="61" t="s">
        <v>346</v>
      </c>
    </row>
    <row r="42" spans="2:5" ht="21.75" customHeight="1" x14ac:dyDescent="0.2">
      <c r="B42" s="25" t="s">
        <v>347</v>
      </c>
      <c r="C42" s="50">
        <f>C41/C35-1</f>
        <v>-0.162192367601246</v>
      </c>
      <c r="D42" s="61" t="s">
        <v>348</v>
      </c>
    </row>
  </sheetData>
  <mergeCells count="6">
    <mergeCell ref="B34:E34"/>
    <mergeCell ref="B1:E1"/>
    <mergeCell ref="B2:E2"/>
    <mergeCell ref="B4:E4"/>
    <mergeCell ref="B15:E15"/>
    <mergeCell ref="B26:E2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9"/>
  <sheetViews>
    <sheetView showGridLines="0" zoomScaleNormal="100" workbookViewId="0">
      <selection activeCell="C12" sqref="C12"/>
    </sheetView>
  </sheetViews>
  <sheetFormatPr baseColWidth="10" defaultColWidth="8.6640625" defaultRowHeight="15" x14ac:dyDescent="0.2"/>
  <cols>
    <col min="1" max="1" width="3" customWidth="1"/>
    <col min="2" max="2" width="36" customWidth="1"/>
    <col min="3" max="3" width="24" customWidth="1"/>
    <col min="4" max="4" width="28.83203125" customWidth="1"/>
    <col min="5" max="5" width="36" customWidth="1"/>
    <col min="6" max="6" width="3" customWidth="1"/>
  </cols>
  <sheetData>
    <row r="1" spans="2:5" ht="19.5" customHeight="1" x14ac:dyDescent="0.2">
      <c r="B1" s="10" t="s">
        <v>349</v>
      </c>
      <c r="C1" s="10"/>
      <c r="D1" s="10"/>
      <c r="E1" s="10"/>
    </row>
    <row r="2" spans="2:5" ht="16.5" customHeight="1" x14ac:dyDescent="0.2">
      <c r="B2" s="9" t="s">
        <v>350</v>
      </c>
      <c r="C2" s="9"/>
      <c r="D2" s="9"/>
      <c r="E2" s="9"/>
    </row>
    <row r="3" spans="2:5" ht="7.5" customHeight="1" x14ac:dyDescent="0.2"/>
    <row r="4" spans="2:5" ht="16.5" customHeight="1" x14ac:dyDescent="0.2">
      <c r="B4" s="9" t="s">
        <v>351</v>
      </c>
      <c r="C4" s="9"/>
      <c r="D4" s="9"/>
      <c r="E4" s="9"/>
    </row>
    <row r="5" spans="2:5" ht="21.75" customHeight="1" x14ac:dyDescent="0.2">
      <c r="B5" s="22" t="s">
        <v>352</v>
      </c>
      <c r="C5" s="57">
        <f>'DCF Model'!C26</f>
        <v>918</v>
      </c>
      <c r="D5" s="61" t="s">
        <v>353</v>
      </c>
    </row>
    <row r="6" spans="2:5" ht="21.75" customHeight="1" x14ac:dyDescent="0.2">
      <c r="B6" s="22" t="s">
        <v>354</v>
      </c>
      <c r="C6" s="57">
        <f>'DCF Model'!C27</f>
        <v>6118</v>
      </c>
      <c r="D6" s="61" t="s">
        <v>355</v>
      </c>
    </row>
    <row r="7" spans="2:5" ht="21.75" customHeight="1" x14ac:dyDescent="0.2">
      <c r="B7" s="25" t="s">
        <v>356</v>
      </c>
      <c r="C7" s="26">
        <f>C5-C6</f>
        <v>-5200</v>
      </c>
      <c r="D7" s="61" t="s">
        <v>357</v>
      </c>
    </row>
    <row r="8" spans="2:5" ht="21.75" customHeight="1" x14ac:dyDescent="0.2">
      <c r="B8" s="22" t="s">
        <v>358</v>
      </c>
      <c r="C8" s="57">
        <f>'DCF Model'!C25</f>
        <v>111790.40000000001</v>
      </c>
      <c r="D8" s="61" t="s">
        <v>359</v>
      </c>
    </row>
    <row r="9" spans="2:5" ht="21.75" customHeight="1" x14ac:dyDescent="0.2">
      <c r="B9" s="22" t="s">
        <v>360</v>
      </c>
      <c r="C9" s="57">
        <f>'DCF Model'!C28</f>
        <v>106590.40000000001</v>
      </c>
      <c r="D9" s="61" t="s">
        <v>359</v>
      </c>
    </row>
    <row r="10" spans="2:5" ht="21.75" customHeight="1" x14ac:dyDescent="0.2">
      <c r="B10" s="22" t="s">
        <v>361</v>
      </c>
      <c r="C10" s="28">
        <f>C5/C9</f>
        <v>8.6124078716282131E-3</v>
      </c>
      <c r="D10" s="61" t="s">
        <v>362</v>
      </c>
    </row>
    <row r="11" spans="2:5" ht="21.75" customHeight="1" x14ac:dyDescent="0.2">
      <c r="B11" s="25" t="s">
        <v>363</v>
      </c>
      <c r="C11" s="52">
        <f>C5/Financials!F18</f>
        <v>0.96327387198321091</v>
      </c>
      <c r="D11" s="61" t="s">
        <v>364</v>
      </c>
    </row>
    <row r="12" spans="2:5" ht="21.75" customHeight="1" x14ac:dyDescent="0.2">
      <c r="B12" s="22" t="s">
        <v>365</v>
      </c>
      <c r="C12" s="55">
        <f>Financials!F21/MAX(Financials!F22,1)</f>
        <v>2.8516949152542375</v>
      </c>
      <c r="D12" s="61" t="s">
        <v>366</v>
      </c>
    </row>
    <row r="13" spans="2:5" ht="21.75" customHeight="1" x14ac:dyDescent="0.2">
      <c r="B13" s="25" t="s">
        <v>367</v>
      </c>
      <c r="C13" s="52">
        <f>C7/Financials!F18</f>
        <v>-5.4564533053515216</v>
      </c>
      <c r="D13" s="61" t="s">
        <v>368</v>
      </c>
    </row>
    <row r="14" spans="2:5" ht="7.5" customHeight="1" x14ac:dyDescent="0.2"/>
    <row r="15" spans="2:5" ht="16.5" customHeight="1" x14ac:dyDescent="0.2">
      <c r="B15" s="9" t="s">
        <v>369</v>
      </c>
      <c r="C15" s="9"/>
      <c r="D15" s="9"/>
      <c r="E15" s="9"/>
    </row>
    <row r="16" spans="2:5" ht="16.5" customHeight="1" x14ac:dyDescent="0.2">
      <c r="B16" s="22" t="s">
        <v>370</v>
      </c>
      <c r="C16" s="63">
        <v>2</v>
      </c>
      <c r="D16" s="30" t="s">
        <v>371</v>
      </c>
    </row>
    <row r="17" spans="2:5" ht="16.5" customHeight="1" x14ac:dyDescent="0.2">
      <c r="B17" s="22" t="s">
        <v>372</v>
      </c>
      <c r="C17" s="27">
        <f>Financials!F18</f>
        <v>953</v>
      </c>
      <c r="D17" s="30" t="s">
        <v>373</v>
      </c>
    </row>
    <row r="18" spans="2:5" ht="16.5" customHeight="1" x14ac:dyDescent="0.2">
      <c r="B18" s="22" t="s">
        <v>374</v>
      </c>
      <c r="C18" s="27">
        <f>C16*C17</f>
        <v>1906</v>
      </c>
      <c r="D18" s="30" t="s">
        <v>375</v>
      </c>
    </row>
    <row r="19" spans="2:5" ht="16.5" customHeight="1" x14ac:dyDescent="0.2">
      <c r="B19" s="22" t="s">
        <v>376</v>
      </c>
      <c r="C19" s="27">
        <f>-C5</f>
        <v>-918</v>
      </c>
      <c r="D19" s="30" t="s">
        <v>377</v>
      </c>
    </row>
    <row r="20" spans="2:5" ht="16.5" customHeight="1" x14ac:dyDescent="0.2">
      <c r="B20" s="25" t="s">
        <v>378</v>
      </c>
      <c r="C20" s="26">
        <f>C18+C19</f>
        <v>988</v>
      </c>
      <c r="D20" s="30" t="s">
        <v>379</v>
      </c>
    </row>
    <row r="21" spans="2:5" ht="16.5" customHeight="1" x14ac:dyDescent="0.2">
      <c r="B21" s="25" t="s">
        <v>380</v>
      </c>
      <c r="C21" s="26">
        <f>C6+C20</f>
        <v>7106</v>
      </c>
      <c r="D21" s="30" t="s">
        <v>381</v>
      </c>
    </row>
    <row r="22" spans="2:5" ht="7.5" customHeight="1" x14ac:dyDescent="0.2"/>
    <row r="23" spans="2:5" ht="16.5" customHeight="1" x14ac:dyDescent="0.2">
      <c r="B23" s="9" t="s">
        <v>382</v>
      </c>
      <c r="C23" s="9"/>
      <c r="D23" s="9"/>
      <c r="E23" s="9"/>
    </row>
    <row r="24" spans="2:5" ht="21.75" customHeight="1" x14ac:dyDescent="0.2">
      <c r="B24" s="22" t="s">
        <v>383</v>
      </c>
      <c r="C24" s="27">
        <f>'M&amp;A Analysis'!C18</f>
        <v>8370</v>
      </c>
      <c r="D24" s="61" t="s">
        <v>384</v>
      </c>
    </row>
    <row r="25" spans="2:5" ht="21.75" customHeight="1" x14ac:dyDescent="0.2">
      <c r="B25" s="22" t="s">
        <v>385</v>
      </c>
      <c r="C25" s="27">
        <f>'M&amp;A Analysis'!C18*'M&amp;A Analysis'!C22</f>
        <v>8370</v>
      </c>
      <c r="D25" s="61" t="s">
        <v>386</v>
      </c>
    </row>
    <row r="26" spans="2:5" ht="21.75" customHeight="1" x14ac:dyDescent="0.2">
      <c r="B26" s="22" t="s">
        <v>387</v>
      </c>
      <c r="C26" s="27">
        <f>'M&amp;A Analysis'!C18*'M&amp;A Analysis'!C23</f>
        <v>0</v>
      </c>
      <c r="D26" s="61" t="s">
        <v>388</v>
      </c>
    </row>
    <row r="27" spans="2:5" ht="21.75" customHeight="1" x14ac:dyDescent="0.2">
      <c r="B27" s="25" t="s">
        <v>389</v>
      </c>
      <c r="C27" s="26">
        <f>C6-C25</f>
        <v>-2252</v>
      </c>
      <c r="D27" s="61" t="s">
        <v>390</v>
      </c>
    </row>
    <row r="28" spans="2:5" ht="21.75" customHeight="1" x14ac:dyDescent="0.2">
      <c r="B28" s="25" t="s">
        <v>391</v>
      </c>
      <c r="C28" s="52">
        <f>IF(C27&lt;0,(C5+ABS(C27))/C17,C7/C17)</f>
        <v>3.3263378803777544</v>
      </c>
      <c r="D28" s="61" t="s">
        <v>392</v>
      </c>
    </row>
    <row r="29" spans="2:5" ht="21.75" customHeight="1" x14ac:dyDescent="0.2">
      <c r="B29" s="22" t="s">
        <v>393</v>
      </c>
      <c r="C29" s="14" t="s">
        <v>394</v>
      </c>
      <c r="D29" s="61" t="s">
        <v>395</v>
      </c>
    </row>
  </sheetData>
  <mergeCells count="5">
    <mergeCell ref="B1:E1"/>
    <mergeCell ref="B2:E2"/>
    <mergeCell ref="B4:E4"/>
    <mergeCell ref="B15:E15"/>
    <mergeCell ref="B23:E23"/>
  </mergeCells>
  <pageMargins left="0.75" right="0.75" top="1" bottom="1" header="0.511811023622047" footer="0.511811023622047"/>
  <pageSetup paperSize="9" orientation="portrait" horizontalDpi="300" verticalDpi="300"/>
  <ignoredErrors>
    <ignoredError sqref="C1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36"/>
  <sheetViews>
    <sheetView showGridLines="0" zoomScaleNormal="100" workbookViewId="0">
      <selection activeCell="C11" sqref="C11"/>
    </sheetView>
  </sheetViews>
  <sheetFormatPr baseColWidth="10" defaultColWidth="8.6640625" defaultRowHeight="15" x14ac:dyDescent="0.2"/>
  <cols>
    <col min="1" max="1" width="3" customWidth="1"/>
    <col min="2" max="2" width="36" customWidth="1"/>
    <col min="3" max="3" width="22" customWidth="1"/>
    <col min="4" max="4" width="34.5" customWidth="1"/>
    <col min="5" max="5" width="11.5" customWidth="1"/>
  </cols>
  <sheetData>
    <row r="1" spans="2:4" ht="24" customHeight="1" x14ac:dyDescent="0.2">
      <c r="B1" s="10" t="s">
        <v>396</v>
      </c>
      <c r="C1" s="10"/>
      <c r="D1" s="10"/>
    </row>
    <row r="2" spans="2:4" ht="16.5" customHeight="1" x14ac:dyDescent="0.2">
      <c r="B2" s="83" t="s">
        <v>397</v>
      </c>
      <c r="C2" s="9"/>
      <c r="D2" s="9"/>
    </row>
    <row r="3" spans="2:4" ht="9.75" customHeight="1" x14ac:dyDescent="0.2"/>
    <row r="4" spans="2:4" ht="16.5" customHeight="1" x14ac:dyDescent="0.2">
      <c r="B4" s="9" t="s">
        <v>398</v>
      </c>
      <c r="C4" s="9"/>
      <c r="D4" s="9"/>
    </row>
    <row r="5" spans="2:4" ht="19.5" customHeight="1" x14ac:dyDescent="0.2">
      <c r="B5" s="25" t="s">
        <v>34</v>
      </c>
      <c r="C5" s="64" t="s">
        <v>399</v>
      </c>
    </row>
    <row r="6" spans="2:4" ht="19.5" customHeight="1" x14ac:dyDescent="0.2">
      <c r="B6" s="22" t="s">
        <v>400</v>
      </c>
      <c r="C6" s="58">
        <f>'DCF Model'!C77</f>
        <v>36.808000200949849</v>
      </c>
    </row>
    <row r="7" spans="2:4" ht="19.5" customHeight="1" x14ac:dyDescent="0.2">
      <c r="B7" s="22" t="s">
        <v>401</v>
      </c>
      <c r="C7" s="65">
        <f>Comps!F22</f>
        <v>42.891101509228903</v>
      </c>
    </row>
    <row r="8" spans="2:4" ht="19.5" customHeight="1" x14ac:dyDescent="0.2">
      <c r="B8" s="22" t="s">
        <v>402</v>
      </c>
      <c r="C8" s="65">
        <f>'Precedent Tx'!C21</f>
        <v>87.192487699507993</v>
      </c>
    </row>
    <row r="9" spans="2:4" ht="19.5" customHeight="1" x14ac:dyDescent="0.2">
      <c r="B9" s="25" t="s">
        <v>403</v>
      </c>
      <c r="C9" s="58">
        <f>C6*0.5+C7*0.3+C8*0.2</f>
        <v>48.709828093145191</v>
      </c>
    </row>
    <row r="10" spans="2:4" ht="19.5" customHeight="1" x14ac:dyDescent="0.2">
      <c r="B10" s="22" t="s">
        <v>404</v>
      </c>
      <c r="C10" s="16">
        <f>'DCF Model'!C23</f>
        <v>87.2</v>
      </c>
    </row>
    <row r="11" spans="2:4" ht="19.5" customHeight="1" x14ac:dyDescent="0.2">
      <c r="B11" s="25" t="s">
        <v>405</v>
      </c>
      <c r="C11" s="66">
        <f>C9/C10-1</f>
        <v>-0.4414010539776928</v>
      </c>
    </row>
    <row r="12" spans="2:4" ht="9.75" customHeight="1" x14ac:dyDescent="0.2"/>
    <row r="13" spans="2:4" ht="16.5" customHeight="1" x14ac:dyDescent="0.2">
      <c r="B13" s="9" t="s">
        <v>406</v>
      </c>
      <c r="C13" s="9"/>
      <c r="D13" s="9"/>
    </row>
    <row r="14" spans="2:4" ht="24" customHeight="1" x14ac:dyDescent="0.2">
      <c r="B14" s="13" t="s">
        <v>407</v>
      </c>
      <c r="C14" s="67" t="s">
        <v>408</v>
      </c>
      <c r="D14" s="61" t="s">
        <v>409</v>
      </c>
    </row>
    <row r="15" spans="2:4" ht="24" customHeight="1" x14ac:dyDescent="0.2">
      <c r="B15" s="13" t="s">
        <v>410</v>
      </c>
      <c r="C15" s="67" t="s">
        <v>411</v>
      </c>
      <c r="D15" s="61" t="s">
        <v>412</v>
      </c>
    </row>
    <row r="16" spans="2:4" ht="24" customHeight="1" x14ac:dyDescent="0.2">
      <c r="B16" s="13" t="s">
        <v>413</v>
      </c>
      <c r="C16" s="67" t="s">
        <v>414</v>
      </c>
      <c r="D16" s="61" t="s">
        <v>415</v>
      </c>
    </row>
    <row r="17" spans="2:4" ht="9.75" customHeight="1" x14ac:dyDescent="0.2"/>
    <row r="18" spans="2:4" ht="16.5" customHeight="1" x14ac:dyDescent="0.2">
      <c r="B18" s="9" t="s">
        <v>416</v>
      </c>
      <c r="C18" s="9"/>
      <c r="D18" s="9"/>
    </row>
    <row r="19" spans="2:4" ht="36" customHeight="1" x14ac:dyDescent="0.2">
      <c r="B19" s="13" t="s">
        <v>417</v>
      </c>
      <c r="C19" s="6" t="s">
        <v>418</v>
      </c>
      <c r="D19" s="6"/>
    </row>
    <row r="20" spans="2:4" ht="36" customHeight="1" x14ac:dyDescent="0.2">
      <c r="B20" s="13" t="s">
        <v>419</v>
      </c>
      <c r="C20" s="6" t="s">
        <v>420</v>
      </c>
      <c r="D20" s="6"/>
    </row>
    <row r="21" spans="2:4" ht="36" customHeight="1" x14ac:dyDescent="0.2">
      <c r="B21" s="13" t="s">
        <v>421</v>
      </c>
      <c r="C21" s="6" t="s">
        <v>422</v>
      </c>
      <c r="D21" s="6"/>
    </row>
    <row r="22" spans="2:4" ht="36" customHeight="1" x14ac:dyDescent="0.2">
      <c r="B22" s="13" t="s">
        <v>423</v>
      </c>
      <c r="C22" s="6" t="s">
        <v>424</v>
      </c>
      <c r="D22" s="6"/>
    </row>
    <row r="23" spans="2:4" ht="36" customHeight="1" x14ac:dyDescent="0.2">
      <c r="B23" s="13" t="s">
        <v>425</v>
      </c>
      <c r="C23" s="6" t="s">
        <v>426</v>
      </c>
      <c r="D23" s="6"/>
    </row>
    <row r="24" spans="2:4" ht="9.75" customHeight="1" x14ac:dyDescent="0.2"/>
    <row r="25" spans="2:4" ht="16.5" customHeight="1" x14ac:dyDescent="0.2">
      <c r="B25" s="9" t="s">
        <v>427</v>
      </c>
      <c r="C25" s="9"/>
      <c r="D25" s="9"/>
    </row>
    <row r="26" spans="2:4" ht="36" customHeight="1" x14ac:dyDescent="0.2">
      <c r="B26" s="68" t="s">
        <v>428</v>
      </c>
      <c r="C26" s="6" t="s">
        <v>429</v>
      </c>
      <c r="D26" s="6"/>
    </row>
    <row r="27" spans="2:4" ht="36" customHeight="1" x14ac:dyDescent="0.2">
      <c r="B27" s="68" t="s">
        <v>430</v>
      </c>
      <c r="C27" s="6" t="s">
        <v>431</v>
      </c>
      <c r="D27" s="6"/>
    </row>
    <row r="28" spans="2:4" ht="36" customHeight="1" x14ac:dyDescent="0.2">
      <c r="B28" s="68" t="s">
        <v>432</v>
      </c>
      <c r="C28" s="6" t="s">
        <v>433</v>
      </c>
      <c r="D28" s="6"/>
    </row>
    <row r="29" spans="2:4" ht="36" customHeight="1" x14ac:dyDescent="0.2">
      <c r="B29" s="68" t="s">
        <v>434</v>
      </c>
      <c r="C29" s="6" t="s">
        <v>435</v>
      </c>
      <c r="D29" s="6"/>
    </row>
    <row r="30" spans="2:4" ht="36" customHeight="1" x14ac:dyDescent="0.2">
      <c r="B30" s="68" t="s">
        <v>436</v>
      </c>
      <c r="C30" s="6" t="s">
        <v>437</v>
      </c>
      <c r="D30" s="6"/>
    </row>
    <row r="31" spans="2:4" ht="9.75" customHeight="1" x14ac:dyDescent="0.2"/>
    <row r="32" spans="2:4" ht="16.5" customHeight="1" x14ac:dyDescent="0.2">
      <c r="B32" s="9" t="s">
        <v>438</v>
      </c>
      <c r="C32" s="9"/>
      <c r="D32" s="9"/>
    </row>
    <row r="33" spans="2:5" ht="109.5" customHeight="1" x14ac:dyDescent="0.2">
      <c r="B33" s="5" t="s">
        <v>439</v>
      </c>
      <c r="C33" s="5"/>
      <c r="D33" s="5"/>
      <c r="E33" s="5"/>
    </row>
    <row r="34" spans="2:5" ht="15" customHeight="1" x14ac:dyDescent="0.2">
      <c r="B34" s="5"/>
      <c r="C34" s="5"/>
      <c r="D34" s="5"/>
      <c r="E34" s="5"/>
    </row>
    <row r="35" spans="2:5" ht="15" customHeight="1" x14ac:dyDescent="0.2">
      <c r="B35" s="5"/>
      <c r="C35" s="5"/>
      <c r="D35" s="5"/>
      <c r="E35" s="5"/>
    </row>
    <row r="36" spans="2:5" ht="15" customHeight="1" x14ac:dyDescent="0.2">
      <c r="B36" s="5"/>
      <c r="C36" s="5"/>
      <c r="D36" s="5"/>
      <c r="E36" s="5"/>
    </row>
  </sheetData>
  <mergeCells count="18">
    <mergeCell ref="C30:D30"/>
    <mergeCell ref="B32:D32"/>
    <mergeCell ref="B33:E36"/>
    <mergeCell ref="B25:D25"/>
    <mergeCell ref="C26:D26"/>
    <mergeCell ref="C27:D27"/>
    <mergeCell ref="C28:D28"/>
    <mergeCell ref="C29:D29"/>
    <mergeCell ref="C19:D19"/>
    <mergeCell ref="C20:D20"/>
    <mergeCell ref="C21:D21"/>
    <mergeCell ref="C22:D22"/>
    <mergeCell ref="C23:D23"/>
    <mergeCell ref="B1:D1"/>
    <mergeCell ref="B2:D2"/>
    <mergeCell ref="B4:D4"/>
    <mergeCell ref="B13:D13"/>
    <mergeCell ref="B18:D18"/>
  </mergeCells>
  <pageMargins left="0.75" right="0.75" top="1" bottom="1" header="0.511811023622047" footer="0.511811023622047"/>
  <pageSetup paperSize="9" orientation="portrait" horizontalDpi="300" verticalDpi="300"/>
  <ignoredErrors>
    <ignoredError sqref="C14:C1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22"/>
  <sheetViews>
    <sheetView showGridLines="0" zoomScaleNormal="100" workbookViewId="0"/>
  </sheetViews>
  <sheetFormatPr baseColWidth="10" defaultColWidth="8.6640625" defaultRowHeight="15" x14ac:dyDescent="0.2"/>
  <cols>
    <col min="1" max="1" width="3" customWidth="1"/>
    <col min="2" max="2" width="20" customWidth="1"/>
    <col min="3" max="8" width="14" customWidth="1"/>
    <col min="9" max="9" width="3" customWidth="1"/>
  </cols>
  <sheetData>
    <row r="1" spans="2:8" ht="21.75" customHeight="1" x14ac:dyDescent="0.2">
      <c r="B1" s="10" t="s">
        <v>440</v>
      </c>
      <c r="C1" s="10"/>
      <c r="D1" s="10"/>
      <c r="E1" s="10"/>
      <c r="F1" s="10"/>
      <c r="G1" s="10"/>
      <c r="H1" s="10"/>
    </row>
    <row r="2" spans="2:8" ht="16.5" customHeight="1" x14ac:dyDescent="0.2">
      <c r="B2" s="9" t="s">
        <v>441</v>
      </c>
      <c r="C2" s="9"/>
      <c r="D2" s="9"/>
      <c r="E2" s="9"/>
      <c r="F2" s="9"/>
      <c r="G2" s="9"/>
      <c r="H2" s="9"/>
    </row>
    <row r="3" spans="2:8" ht="7.5" customHeight="1" x14ac:dyDescent="0.2"/>
    <row r="4" spans="2:8" ht="16.5" customHeight="1" x14ac:dyDescent="0.2">
      <c r="B4" s="9" t="s">
        <v>442</v>
      </c>
      <c r="C4" s="9"/>
      <c r="D4" s="9"/>
      <c r="E4" s="9"/>
      <c r="F4" s="9"/>
      <c r="G4" s="9"/>
      <c r="H4" s="9"/>
    </row>
    <row r="5" spans="2:8" ht="18" customHeight="1" x14ac:dyDescent="0.2">
      <c r="B5" s="69" t="s">
        <v>443</v>
      </c>
      <c r="C5" s="70">
        <v>7.4999999999999997E-2</v>
      </c>
      <c r="D5" s="70">
        <v>8.5000000000000006E-2</v>
      </c>
      <c r="E5" s="70">
        <v>9.5000000000000001E-2</v>
      </c>
      <c r="F5" s="70">
        <v>0.105</v>
      </c>
      <c r="G5" s="70">
        <v>0.115</v>
      </c>
      <c r="H5" s="70">
        <v>0.125</v>
      </c>
    </row>
    <row r="6" spans="2:8" ht="18" customHeight="1" x14ac:dyDescent="0.2">
      <c r="B6" s="71">
        <v>0.02</v>
      </c>
      <c r="C6" s="72">
        <f>('DCF Model'!C61/(1+0.075)^1+'DCF Model'!D61/(1+0.075)^2+'DCF Model'!E61/(1+0.075)^3+'DCF Model'!F61/(1+0.075)^4+'DCF Model'!G61/(1+0.075)^5+'DCF Model'!G61*(1+0.02)/(0.075-0.02)/(1+0.075)^5+'DCF Model'!C27-'DCF Model'!C26-'DCF Model'!C73-'DCF Model'!C74)/'DCF Model'!C24</f>
        <v>40.836593884369705</v>
      </c>
      <c r="D6" s="72">
        <f>('DCF Model'!C61/(1+0.085)^1+'DCF Model'!D61/(1+0.085)^2+'DCF Model'!E61/(1+0.085)^3+'DCF Model'!F61/(1+0.085)^4+'DCF Model'!G61/(1+0.085)^5+'DCF Model'!G61*(1+0.02)/(0.085-0.02)/(1+0.085)^5+'DCF Model'!C27-'DCF Model'!C26-'DCF Model'!C73-'DCF Model'!C74)/'DCF Model'!C24</f>
        <v>34.711070774380083</v>
      </c>
      <c r="E6" s="72">
        <f>('DCF Model'!C61/(1+0.095)^1+'DCF Model'!D61/(1+0.095)^2+'DCF Model'!E61/(1+0.095)^3+'DCF Model'!F61/(1+0.095)^4+'DCF Model'!G61/(1+0.095)^5+'DCF Model'!G61*(1+0.02)/(0.095-0.02)/(1+0.095)^5+'DCF Model'!C27-'DCF Model'!C26-'DCF Model'!C73-'DCF Model'!C74)/'DCF Model'!C24</f>
        <v>30.233806796372058</v>
      </c>
      <c r="F6" s="72">
        <f>('DCF Model'!C61/(1+0.105)^1+'DCF Model'!D61/(1+0.105)^2+'DCF Model'!E61/(1+0.105)^3+'DCF Model'!F61/(1+0.105)^4+'DCF Model'!G61/(1+0.105)^5+'DCF Model'!G61*(1+0.02)/(0.105-0.02)/(1+0.105)^5+'DCF Model'!C27-'DCF Model'!C26-'DCF Model'!C73-'DCF Model'!C74)/'DCF Model'!C24</f>
        <v>26.822447304835471</v>
      </c>
      <c r="G6" s="72">
        <f>('DCF Model'!C61/(1+0.115)^1+'DCF Model'!D61/(1+0.115)^2+'DCF Model'!E61/(1+0.115)^3+'DCF Model'!F61/(1+0.115)^4+'DCF Model'!G61/(1+0.115)^5+'DCF Model'!G61*(1+0.02)/(0.115-0.02)/(1+0.115)^5+'DCF Model'!C27-'DCF Model'!C26-'DCF Model'!C73-'DCF Model'!C74)/'DCF Model'!C24</f>
        <v>24.139870976864138</v>
      </c>
      <c r="H6" s="72">
        <f>('DCF Model'!C61/(1+0.125)^1+'DCF Model'!D61/(1+0.125)^2+'DCF Model'!E61/(1+0.125)^3+'DCF Model'!F61/(1+0.125)^4+'DCF Model'!G61/(1+0.125)^5+'DCF Model'!G61*(1+0.02)/(0.125-0.02)/(1+0.125)^5+'DCF Model'!C27-'DCF Model'!C26-'DCF Model'!C73-'DCF Model'!C74)/'DCF Model'!C24</f>
        <v>21.977410166640674</v>
      </c>
    </row>
    <row r="7" spans="2:8" ht="18" customHeight="1" x14ac:dyDescent="0.2">
      <c r="B7" s="71">
        <v>2.5000000000000001E-2</v>
      </c>
      <c r="C7" s="72">
        <f>('DCF Model'!C61/(1+0.075)^1+'DCF Model'!D61/(1+0.075)^2+'DCF Model'!E61/(1+0.075)^3+'DCF Model'!F61/(1+0.075)^4+'DCF Model'!G61/(1+0.075)^5+'DCF Model'!G61*(1+0.025)/(0.075-0.025)/(1+0.075)^5+'DCF Model'!C27-'DCF Model'!C26-'DCF Model'!C73-'DCF Model'!C74)/'DCF Model'!C24</f>
        <v>44.096913991298635</v>
      </c>
      <c r="D7" s="72">
        <f>('DCF Model'!C61/(1+0.085)^1+'DCF Model'!D61/(1+0.085)^2+'DCF Model'!E61/(1+0.085)^3+'DCF Model'!F61/(1+0.085)^4+'DCF Model'!G61/(1+0.085)^5+'DCF Model'!G61*(1+0.025)/(0.085-0.025)/(1+0.085)^5+'DCF Model'!C27-'DCF Model'!C26-'DCF Model'!C73-'DCF Model'!C74)/'DCF Model'!C24</f>
        <v>36.926425283067104</v>
      </c>
      <c r="E7" s="72">
        <f>('DCF Model'!C61/(1+0.095)^1+'DCF Model'!D61/(1+0.095)^2+'DCF Model'!E61/(1+0.095)^3+'DCF Model'!F61/(1+0.095)^4+'DCF Model'!G61/(1+0.095)^5+'DCF Model'!G61*(1+0.025)/(0.095-0.025)/(1+0.095)^5+'DCF Model'!C27-'DCF Model'!C26-'DCF Model'!C73-'DCF Model'!C74)/'DCF Model'!C24</f>
        <v>31.820200629989657</v>
      </c>
      <c r="F7" s="72">
        <f>('DCF Model'!C61/(1+0.105)^1+'DCF Model'!D61/(1+0.105)^2+'DCF Model'!E61/(1+0.105)^3+'DCF Model'!F61/(1+0.105)^4+'DCF Model'!G61/(1+0.105)^5+'DCF Model'!G61*(1+0.025)/(0.105-0.025)/(1+0.105)^5+'DCF Model'!C27-'DCF Model'!C26-'DCF Model'!C73-'DCF Model'!C74)/'DCF Model'!C24</f>
        <v>28.003498622276261</v>
      </c>
      <c r="G7" s="72">
        <f>('DCF Model'!C61/(1+0.115)^1+'DCF Model'!D61/(1+0.115)^2+'DCF Model'!E61/(1+0.115)^3+'DCF Model'!F61/(1+0.115)^4+'DCF Model'!G61/(1+0.115)^5+'DCF Model'!G61*(1+0.025)/(0.115-0.025)/(1+0.115)^5+'DCF Model'!C27-'DCF Model'!C26-'DCF Model'!C73-'DCF Model'!C74)/'DCF Model'!C24</f>
        <v>25.045939845634773</v>
      </c>
      <c r="H7" s="72">
        <f>('DCF Model'!C61/(1+0.125)^1+'DCF Model'!D61/(1+0.125)^2+'DCF Model'!E61/(1+0.125)^3+'DCF Model'!F61/(1+0.125)^4+'DCF Model'!G61/(1+0.125)^5+'DCF Model'!G61*(1+0.025)/(0.125-0.025)/(1+0.125)^5+'DCF Model'!C27-'DCF Model'!C26-'DCF Model'!C73-'DCF Model'!C74)/'DCF Model'!C24</f>
        <v>22.68932395481626</v>
      </c>
    </row>
    <row r="8" spans="2:8" ht="18" customHeight="1" x14ac:dyDescent="0.2">
      <c r="B8" s="71">
        <v>0.03</v>
      </c>
      <c r="C8" s="72">
        <f>('DCF Model'!C61/(1+0.075)^1+'DCF Model'!D61/(1+0.075)^2+'DCF Model'!E61/(1+0.075)^3+'DCF Model'!F61/(1+0.075)^4+'DCF Model'!G61/(1+0.075)^5+'DCF Model'!G61*(1+0.03)/(0.075-0.03)/(1+0.075)^5+'DCF Model'!C27-'DCF Model'!C26-'DCF Model'!C73-'DCF Model'!C74)/'DCF Model'!C24</f>
        <v>48.081749677545119</v>
      </c>
      <c r="D8" s="72">
        <f>('DCF Model'!C61/(1+0.085)^1+'DCF Model'!D61/(1+0.085)^2+'DCF Model'!E61/(1+0.085)^3+'DCF Model'!F61/(1+0.085)^4+'DCF Model'!G61/(1+0.085)^5+'DCF Model'!G61*(1+0.03)/(0.085-0.03)/(1+0.085)^5+'DCF Model'!C27-'DCF Model'!C26-'DCF Model'!C73-'DCF Model'!C74)/'DCF Model'!C24</f>
        <v>39.544571520606318</v>
      </c>
      <c r="E8" s="72">
        <f>('DCF Model'!C61/(1+0.095)^1+'DCF Model'!D61/(1+0.095)^2+'DCF Model'!E61/(1+0.095)^3+'DCF Model'!F61/(1+0.095)^4+'DCF Model'!G61/(1+0.095)^5+'DCF Model'!G61*(1+0.03)/(0.095-0.03)/(1+0.095)^5+'DCF Model'!C27-'DCF Model'!C26-'DCF Model'!C73-'DCF Model'!C74)/'DCF Model'!C24</f>
        <v>33.65065505339458</v>
      </c>
      <c r="F8" s="72">
        <f>('DCF Model'!C61/(1+0.105)^1+'DCF Model'!D61/(1+0.105)^2+'DCF Model'!E61/(1+0.105)^3+'DCF Model'!F61/(1+0.105)^4+'DCF Model'!G61/(1+0.105)^5+'DCF Model'!G61*(1+0.03)/(0.105-0.03)/(1+0.105)^5+'DCF Model'!C27-'DCF Model'!C26-'DCF Model'!C73-'DCF Model'!C74)/'DCF Model'!C24</f>
        <v>29.34202344870916</v>
      </c>
      <c r="G8" s="72">
        <f>('DCF Model'!C61/(1+0.115)^1+'DCF Model'!D61/(1+0.115)^2+'DCF Model'!E61/(1+0.115)^3+'DCF Model'!F61/(1+0.115)^4+'DCF Model'!G61/(1+0.115)^5+'DCF Model'!G61*(1+0.03)/(0.115-0.03)/(1+0.115)^5+'DCF Model'!C27-'DCF Model'!C26-'DCF Model'!C73-'DCF Model'!C74)/'DCF Model'!C24</f>
        <v>26.058605051907843</v>
      </c>
      <c r="H8" s="72">
        <f>('DCF Model'!C61/(1+0.125)^1+'DCF Model'!D61/(1+0.125)^2+'DCF Model'!E61/(1+0.125)^3+'DCF Model'!F61/(1+0.125)^4+'DCF Model'!G61/(1+0.125)^5+'DCF Model'!G61*(1+0.03)/(0.125-0.03)/(1+0.125)^5+'DCF Model'!C27-'DCF Model'!C26-'DCF Model'!C73-'DCF Model'!C74)/'DCF Model'!C24</f>
        <v>23.47617603648402</v>
      </c>
    </row>
    <row r="9" spans="2:8" ht="18" customHeight="1" x14ac:dyDescent="0.2">
      <c r="B9" s="71">
        <v>3.5000000000000003E-2</v>
      </c>
      <c r="C9" s="72">
        <f>('DCF Model'!C61/(1+0.075)^1+'DCF Model'!D61/(1+0.075)^2+'DCF Model'!E61/(1+0.075)^3+'DCF Model'!F61/(1+0.075)^4+'DCF Model'!G61/(1+0.075)^5+'DCF Model'!G61*(1+0.035)/(0.075-0.035)/(1+0.075)^5+'DCF Model'!C27-'DCF Model'!C26-'DCF Model'!C73-'DCF Model'!C74)/'DCF Model'!C24</f>
        <v>53.062794285353206</v>
      </c>
      <c r="D9" s="72">
        <f>('DCF Model'!C61/(1+0.085)^1+'DCF Model'!D61/(1+0.085)^2+'DCF Model'!E61/(1+0.085)^3+'DCF Model'!F61/(1+0.085)^4+'DCF Model'!G61/(1+0.085)^5+'DCF Model'!G61*(1+0.035)/(0.085-0.035)/(1+0.085)^5+'DCF Model'!C27-'DCF Model'!C26-'DCF Model'!C73-'DCF Model'!C74)/'DCF Model'!C24</f>
        <v>42.686347005653374</v>
      </c>
      <c r="E9" s="72">
        <f>('DCF Model'!C61/(1+0.095)^1+'DCF Model'!D61/(1+0.095)^2+'DCF Model'!E61/(1+0.095)^3+'DCF Model'!F61/(1+0.095)^4+'DCF Model'!G61/(1+0.095)^5+'DCF Model'!G61*(1+0.035)/(0.095-0.035)/(1+0.095)^5+'DCF Model'!C27-'DCF Model'!C26-'DCF Model'!C73-'DCF Model'!C74)/'DCF Model'!C24</f>
        <v>35.786185214033665</v>
      </c>
      <c r="F9" s="72">
        <f>('DCF Model'!C61/(1+0.105)^1+'DCF Model'!D61/(1+0.105)^2+'DCF Model'!E61/(1+0.105)^3+'DCF Model'!F61/(1+0.105)^4+'DCF Model'!G61/(1+0.105)^5+'DCF Model'!G61*(1+0.035)/(0.105-0.035)/(1+0.105)^5+'DCF Model'!C27-'DCF Model'!C26-'DCF Model'!C73-'DCF Model'!C74)/'DCF Model'!C24</f>
        <v>30.871766107489613</v>
      </c>
      <c r="G9" s="72">
        <f>('DCF Model'!C61/(1+0.115)^1+'DCF Model'!D61/(1+0.115)^2+'DCF Model'!E61/(1+0.115)^3+'DCF Model'!F61/(1+0.115)^4+'DCF Model'!G61/(1+0.115)^5+'DCF Model'!G61*(1+0.035)/(0.115-0.035)/(1+0.115)^5+'DCF Model'!C27-'DCF Model'!C26-'DCF Model'!C73-'DCF Model'!C74)/'DCF Model'!C24</f>
        <v>27.197853408965035</v>
      </c>
      <c r="H9" s="72">
        <f>('DCF Model'!C61/(1+0.125)^1+'DCF Model'!D61/(1+0.125)^2+'DCF Model'!E61/(1+0.125)^3+'DCF Model'!F61/(1+0.125)^4+'DCF Model'!G61/(1+0.125)^5+'DCF Model'!G61*(1+0.035)/(0.125-0.035)/(1+0.125)^5+'DCF Model'!C27-'DCF Model'!C26-'DCF Model'!C73-'DCF Model'!C74)/'DCF Model'!C24</f>
        <v>24.350456127225968</v>
      </c>
    </row>
    <row r="10" spans="2:8" ht="18" customHeight="1" x14ac:dyDescent="0.2">
      <c r="B10" s="71">
        <v>0.04</v>
      </c>
      <c r="C10" s="72">
        <f>('DCF Model'!C61/(1+0.075)^1+'DCF Model'!D61/(1+0.075)^2+'DCF Model'!E61/(1+0.075)^3+'DCF Model'!F61/(1+0.075)^4+'DCF Model'!G61/(1+0.075)^5+'DCF Model'!G61*(1+0.04)/(0.075-0.04)/(1+0.075)^5+'DCF Model'!C27-'DCF Model'!C26-'DCF Model'!C73-'DCF Model'!C74)/'DCF Model'!C24</f>
        <v>59.466994495392207</v>
      </c>
      <c r="D10" s="72">
        <f>('DCF Model'!C61/(1+0.085)^1+'DCF Model'!D61/(1+0.085)^2+'DCF Model'!E61/(1+0.085)^3+'DCF Model'!F61/(1+0.085)^4+'DCF Model'!G61/(1+0.085)^5+'DCF Model'!G61*(1+0.04)/(0.085-0.04)/(1+0.085)^5+'DCF Model'!C27-'DCF Model'!C26-'DCF Model'!C73-'DCF Model'!C74)/'DCF Model'!C24</f>
        <v>46.526294820710888</v>
      </c>
      <c r="E10" s="73">
        <f>('DCF Model'!C61/(1+0.095)^1+'DCF Model'!D61/(1+0.095)^2+'DCF Model'!E61/(1+0.095)^3+'DCF Model'!F61/(1+0.095)^4+'DCF Model'!G61/(1+0.095)^5+'DCF Model'!G61*(1+0.04)/(0.095-0.04)/(1+0.095)^5+'DCF Model'!C27-'DCF Model'!C26-'DCF Model'!C73-'DCF Model'!C74)/'DCF Model'!C24</f>
        <v>38.309993585698031</v>
      </c>
      <c r="F10" s="72">
        <f>('DCF Model'!C61/(1+0.105)^1+'DCF Model'!D61/(1+0.105)^2+'DCF Model'!E61/(1+0.105)^3+'DCF Model'!F61/(1+0.105)^4+'DCF Model'!G61/(1+0.105)^5+'DCF Model'!G61*(1+0.04)/(0.105-0.04)/(1+0.105)^5+'DCF Model'!C27-'DCF Model'!C26-'DCF Model'!C73-'DCF Model'!C74)/'DCF Model'!C24</f>
        <v>32.636853790697835</v>
      </c>
      <c r="G10" s="72">
        <f>('DCF Model'!C61/(1+0.115)^1+'DCF Model'!D61/(1+0.115)^2+'DCF Model'!E61/(1+0.115)^3+'DCF Model'!F61/(1+0.115)^4+'DCF Model'!G61/(1+0.115)^5+'DCF Model'!G61*(1+0.04)/(0.115-0.04)/(1+0.115)^5+'DCF Model'!C27-'DCF Model'!C26-'DCF Model'!C73-'DCF Model'!C74)/'DCF Model'!C24</f>
        <v>28.489001546963195</v>
      </c>
      <c r="H10" s="72">
        <f>('DCF Model'!C61/(1+0.125)^1+'DCF Model'!D61/(1+0.125)^2+'DCF Model'!E61/(1+0.125)^3+'DCF Model'!F61/(1+0.125)^4+'DCF Model'!G61/(1+0.125)^5+'DCF Model'!G61*(1+0.04)/(0.125-0.04)/(1+0.125)^5+'DCF Model'!C27-'DCF Model'!C26-'DCF Model'!C73-'DCF Model'!C74)/'DCF Model'!C24</f>
        <v>25.32759269923169</v>
      </c>
    </row>
    <row r="11" spans="2:8" ht="18" customHeight="1" x14ac:dyDescent="0.2">
      <c r="B11" s="71">
        <v>4.4999999999999998E-2</v>
      </c>
      <c r="C11" s="72">
        <f>('DCF Model'!C61/(1+0.075)^1+'DCF Model'!D61/(1+0.075)^2+'DCF Model'!E61/(1+0.075)^3+'DCF Model'!F61/(1+0.075)^4+'DCF Model'!G61/(1+0.075)^5+'DCF Model'!G61*(1+0.045)/(0.075-0.045)/(1+0.075)^5+'DCF Model'!C27-'DCF Model'!C26-'DCF Model'!C73-'DCF Model'!C74)/'DCF Model'!C24</f>
        <v>68.005928108777496</v>
      </c>
      <c r="D11" s="72">
        <f>('DCF Model'!C61/(1+0.085)^1+'DCF Model'!D61/(1+0.085)^2+'DCF Model'!E61/(1+0.085)^3+'DCF Model'!F61/(1+0.085)^4+'DCF Model'!G61/(1+0.085)^5+'DCF Model'!G61*(1+0.045)/(0.085-0.045)/(1+0.085)^5+'DCF Model'!C27-'DCF Model'!C26-'DCF Model'!C73-'DCF Model'!C74)/'DCF Model'!C24</f>
        <v>51.326229589532772</v>
      </c>
      <c r="E11" s="72">
        <f>('DCF Model'!C61/(1+0.095)^1+'DCF Model'!D61/(1+0.095)^2+'DCF Model'!E61/(1+0.095)^3+'DCF Model'!F61/(1+0.095)^4+'DCF Model'!G61/(1+0.095)^5+'DCF Model'!G61*(1+0.045)/(0.095-0.045)/(1+0.095)^5+'DCF Model'!C27-'DCF Model'!C26-'DCF Model'!C73-'DCF Model'!C74)/'DCF Model'!C24</f>
        <v>41.338563631695273</v>
      </c>
      <c r="F11" s="72">
        <f>('DCF Model'!C61/(1+0.105)^1+'DCF Model'!D61/(1+0.105)^2+'DCF Model'!E61/(1+0.105)^3+'DCF Model'!F61/(1+0.105)^4+'DCF Model'!G61/(1+0.105)^5+'DCF Model'!G61*(1+0.045)/(0.105-0.045)/(1+0.105)^5+'DCF Model'!C27-'DCF Model'!C26-'DCF Model'!C73-'DCF Model'!C74)/'DCF Model'!C24</f>
        <v>34.696122754440758</v>
      </c>
      <c r="G11" s="72">
        <f>('DCF Model'!C61/(1+0.115)^1+'DCF Model'!D61/(1+0.115)^2+'DCF Model'!E61/(1+0.115)^3+'DCF Model'!F61/(1+0.115)^4+'DCF Model'!G61/(1+0.115)^5+'DCF Model'!G61*(1+0.045)/(0.115-0.045)/(1+0.115)^5+'DCF Model'!C27-'DCF Model'!C26-'DCF Model'!C73-'DCF Model'!C74)/'DCF Model'!C24</f>
        <v>29.96459941896109</v>
      </c>
      <c r="H11" s="72">
        <f>('DCF Model'!C61/(1+0.125)^1+'DCF Model'!D61/(1+0.125)^2+'DCF Model'!E61/(1+0.125)^3+'DCF Model'!F61/(1+0.125)^4+'DCF Model'!G61/(1+0.125)^5+'DCF Model'!G61*(1+0.045)/(0.125-0.045)/(1+0.125)^5+'DCF Model'!C27-'DCF Model'!C26-'DCF Model'!C73-'DCF Model'!C74)/'DCF Model'!C24</f>
        <v>26.426871342738103</v>
      </c>
    </row>
    <row r="12" spans="2:8" ht="18" customHeight="1" x14ac:dyDescent="0.2">
      <c r="B12" s="71">
        <v>0.05</v>
      </c>
      <c r="C12" s="72">
        <f>('DCF Model'!C61/(1+0.075)^1+'DCF Model'!D61/(1+0.075)^2+'DCF Model'!E61/(1+0.075)^3+'DCF Model'!F61/(1+0.075)^4+'DCF Model'!G61/(1+0.075)^5+'DCF Model'!G61*(1+0.05)/(0.075-0.05)/(1+0.075)^5+'DCF Model'!C27-'DCF Model'!C26-'DCF Model'!C73-'DCF Model'!C74)/'DCF Model'!C24</f>
        <v>79.960435167516948</v>
      </c>
      <c r="D12" s="72">
        <f>('DCF Model'!C61/(1+0.085)^1+'DCF Model'!D61/(1+0.085)^2+'DCF Model'!E61/(1+0.085)^3+'DCF Model'!F61/(1+0.085)^4+'DCF Model'!G61/(1+0.085)^5+'DCF Model'!G61*(1+0.05)/(0.085-0.05)/(1+0.085)^5+'DCF Model'!C27-'DCF Model'!C26-'DCF Model'!C73-'DCF Model'!C74)/'DCF Model'!C24</f>
        <v>57.497574292303788</v>
      </c>
      <c r="E12" s="72">
        <f>('DCF Model'!C61/(1+0.095)^1+'DCF Model'!D61/(1+0.095)^2+'DCF Model'!E61/(1+0.095)^3+'DCF Model'!F61/(1+0.095)^4+'DCF Model'!G61/(1+0.095)^5+'DCF Model'!G61*(1+0.05)/(0.095-0.05)/(1+0.095)^5+'DCF Model'!C27-'DCF Model'!C26-'DCF Model'!C73-'DCF Model'!C74)/'DCF Model'!C24</f>
        <v>45.040149243469678</v>
      </c>
      <c r="F12" s="72">
        <f>('DCF Model'!C61/(1+0.105)^1+'DCF Model'!D61/(1+0.105)^2+'DCF Model'!E61/(1+0.105)^3+'DCF Model'!F61/(1+0.105)^4+'DCF Model'!G61/(1+0.105)^5+'DCF Model'!G61*(1+0.05)/(0.105-0.05)/(1+0.105)^5+'DCF Model'!C27-'DCF Model'!C26-'DCF Model'!C73-'DCF Model'!C74)/'DCF Model'!C24</f>
        <v>37.129804257046032</v>
      </c>
      <c r="G12" s="72">
        <f>('DCF Model'!C61/(1+0.115)^1+'DCF Model'!D61/(1+0.115)^2+'DCF Model'!E61/(1+0.115)^3+'DCF Model'!F61/(1+0.115)^4+'DCF Model'!G61/(1+0.115)^5+'DCF Model'!G61*(1+0.05)/(0.115-0.05)/(1+0.115)^5+'DCF Model'!C27-'DCF Model'!C26-'DCF Model'!C73-'DCF Model'!C74)/'DCF Model'!C24</f>
        <v>31.66721234818943</v>
      </c>
      <c r="H12" s="72">
        <f>('DCF Model'!C61/(1+0.125)^1+'DCF Model'!D61/(1+0.125)^2+'DCF Model'!E61/(1+0.125)^3+'DCF Model'!F61/(1+0.125)^4+'DCF Model'!G61/(1+0.125)^5+'DCF Model'!G61*(1+0.05)/(0.125-0.05)/(1+0.125)^5+'DCF Model'!C27-'DCF Model'!C26-'DCF Model'!C73-'DCF Model'!C74)/'DCF Model'!C24</f>
        <v>27.672720472045398</v>
      </c>
    </row>
    <row r="13" spans="2:8" ht="7.5" customHeight="1" x14ac:dyDescent="0.2"/>
    <row r="14" spans="2:8" ht="16.5" customHeight="1" x14ac:dyDescent="0.2">
      <c r="B14" s="9" t="s">
        <v>444</v>
      </c>
      <c r="C14" s="9"/>
      <c r="D14" s="9"/>
      <c r="E14" s="9"/>
      <c r="F14" s="9"/>
      <c r="G14" s="9"/>
      <c r="H14" s="9"/>
    </row>
    <row r="15" spans="2:8" ht="16.5" customHeight="1" x14ac:dyDescent="0.2">
      <c r="B15" s="13" t="s">
        <v>445</v>
      </c>
      <c r="C15" s="35">
        <v>87.2</v>
      </c>
    </row>
    <row r="16" spans="2:8" ht="16.5" customHeight="1" x14ac:dyDescent="0.2">
      <c r="B16" s="25" t="s">
        <v>446</v>
      </c>
      <c r="C16" s="50">
        <f>E10/C15-1</f>
        <v>-0.56066521117318779</v>
      </c>
    </row>
    <row r="17" spans="2:8" ht="7.5" customHeight="1" x14ac:dyDescent="0.2"/>
    <row r="18" spans="2:8" ht="16.5" customHeight="1" x14ac:dyDescent="0.2">
      <c r="B18" s="9" t="s">
        <v>447</v>
      </c>
      <c r="C18" s="9"/>
      <c r="D18" s="9"/>
      <c r="E18" s="9"/>
      <c r="F18" s="9"/>
      <c r="G18" s="9"/>
      <c r="H18" s="9"/>
    </row>
    <row r="19" spans="2:8" ht="19.5" customHeight="1" x14ac:dyDescent="0.2">
      <c r="B19" s="13" t="s">
        <v>448</v>
      </c>
      <c r="C19" s="4" t="s">
        <v>449</v>
      </c>
      <c r="D19" s="4"/>
      <c r="E19" s="4"/>
      <c r="F19" s="4"/>
      <c r="G19" s="4"/>
      <c r="H19" s="4"/>
    </row>
    <row r="20" spans="2:8" ht="19.5" customHeight="1" x14ac:dyDescent="0.2">
      <c r="B20" s="13" t="s">
        <v>450</v>
      </c>
      <c r="C20" s="4" t="s">
        <v>451</v>
      </c>
      <c r="D20" s="4"/>
      <c r="E20" s="4"/>
      <c r="F20" s="4"/>
      <c r="G20" s="4"/>
      <c r="H20" s="4"/>
    </row>
    <row r="21" spans="2:8" ht="19.5" customHeight="1" x14ac:dyDescent="0.2">
      <c r="B21" s="13" t="s">
        <v>452</v>
      </c>
      <c r="C21" s="4" t="s">
        <v>453</v>
      </c>
      <c r="D21" s="4"/>
      <c r="E21" s="4"/>
      <c r="F21" s="4"/>
      <c r="G21" s="4"/>
      <c r="H21" s="4"/>
    </row>
    <row r="22" spans="2:8" ht="19.5" customHeight="1" x14ac:dyDescent="0.2">
      <c r="B22" s="13" t="s">
        <v>454</v>
      </c>
      <c r="C22" s="4" t="s">
        <v>455</v>
      </c>
      <c r="D22" s="4"/>
      <c r="E22" s="4"/>
      <c r="F22" s="4"/>
      <c r="G22" s="4"/>
      <c r="H22" s="4"/>
    </row>
  </sheetData>
  <mergeCells count="9">
    <mergeCell ref="C19:H19"/>
    <mergeCell ref="C20:H20"/>
    <mergeCell ref="C21:H21"/>
    <mergeCell ref="C22:H22"/>
    <mergeCell ref="B1:H1"/>
    <mergeCell ref="B2:H2"/>
    <mergeCell ref="B4:H4"/>
    <mergeCell ref="B14:H14"/>
    <mergeCell ref="B18:H1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9"/>
  <sheetViews>
    <sheetView showGridLines="0" topLeftCell="B22" zoomScaleNormal="100" workbookViewId="0"/>
  </sheetViews>
  <sheetFormatPr baseColWidth="10" defaultColWidth="8.6640625" defaultRowHeight="15" x14ac:dyDescent="0.2"/>
  <cols>
    <col min="1" max="1" width="3" customWidth="1"/>
    <col min="2" max="2" width="28" customWidth="1"/>
    <col min="3" max="4" width="14" customWidth="1"/>
    <col min="5" max="5" width="49.83203125" customWidth="1"/>
    <col min="6" max="6" width="3" customWidth="1"/>
  </cols>
  <sheetData>
    <row r="1" spans="2:5" ht="21.75" customHeight="1" x14ac:dyDescent="0.2">
      <c r="B1" s="10" t="s">
        <v>456</v>
      </c>
      <c r="C1" s="10"/>
      <c r="D1" s="10"/>
      <c r="E1" s="10"/>
    </row>
    <row r="2" spans="2:5" ht="16.5" customHeight="1" x14ac:dyDescent="0.2">
      <c r="B2" s="9" t="s">
        <v>457</v>
      </c>
      <c r="C2" s="9"/>
      <c r="D2" s="9"/>
      <c r="E2" s="9"/>
    </row>
    <row r="3" spans="2:5" ht="7.5" customHeight="1" x14ac:dyDescent="0.2"/>
    <row r="4" spans="2:5" ht="16.5" customHeight="1" x14ac:dyDescent="0.2">
      <c r="B4" s="9" t="s">
        <v>458</v>
      </c>
      <c r="C4" s="9"/>
      <c r="D4" s="9"/>
      <c r="E4" s="9"/>
    </row>
    <row r="5" spans="2:5" ht="18" customHeight="1" x14ac:dyDescent="0.2">
      <c r="B5" s="21" t="s">
        <v>232</v>
      </c>
      <c r="C5" s="21" t="s">
        <v>459</v>
      </c>
      <c r="D5" s="21" t="s">
        <v>460</v>
      </c>
      <c r="E5" s="21" t="s">
        <v>461</v>
      </c>
    </row>
    <row r="6" spans="2:5" ht="21.75" customHeight="1" x14ac:dyDescent="0.2">
      <c r="B6" s="13" t="s">
        <v>462</v>
      </c>
      <c r="C6" s="35">
        <v>22</v>
      </c>
      <c r="D6" s="35">
        <v>35</v>
      </c>
      <c r="E6" s="61" t="s">
        <v>463</v>
      </c>
    </row>
    <row r="7" spans="2:5" ht="21.75" customHeight="1" x14ac:dyDescent="0.2">
      <c r="B7" s="13" t="s">
        <v>464</v>
      </c>
      <c r="C7" s="35">
        <v>38</v>
      </c>
      <c r="D7" s="35">
        <v>45</v>
      </c>
      <c r="E7" s="61" t="s">
        <v>465</v>
      </c>
    </row>
    <row r="8" spans="2:5" ht="21.75" customHeight="1" x14ac:dyDescent="0.2">
      <c r="B8" s="13" t="s">
        <v>466</v>
      </c>
      <c r="C8" s="35">
        <v>55</v>
      </c>
      <c r="D8" s="35">
        <v>72</v>
      </c>
      <c r="E8" s="61" t="s">
        <v>467</v>
      </c>
    </row>
    <row r="9" spans="2:5" ht="21.75" customHeight="1" x14ac:dyDescent="0.2">
      <c r="B9" s="13" t="s">
        <v>410</v>
      </c>
      <c r="C9" s="35">
        <v>38</v>
      </c>
      <c r="D9" s="35">
        <v>58</v>
      </c>
      <c r="E9" s="61" t="s">
        <v>468</v>
      </c>
    </row>
    <row r="10" spans="2:5" ht="21.75" customHeight="1" x14ac:dyDescent="0.2">
      <c r="B10" s="13" t="s">
        <v>413</v>
      </c>
      <c r="C10" s="35">
        <v>65</v>
      </c>
      <c r="D10" s="35">
        <v>110</v>
      </c>
      <c r="E10" s="61" t="s">
        <v>469</v>
      </c>
    </row>
    <row r="11" spans="2:5" ht="21.75" customHeight="1" x14ac:dyDescent="0.2">
      <c r="B11" s="13" t="s">
        <v>470</v>
      </c>
      <c r="C11" s="35">
        <v>56</v>
      </c>
      <c r="D11" s="35">
        <v>99</v>
      </c>
      <c r="E11" s="61" t="s">
        <v>471</v>
      </c>
    </row>
    <row r="12" spans="2:5" ht="6" customHeight="1" x14ac:dyDescent="0.2"/>
    <row r="13" spans="2:5" ht="16.5" customHeight="1" x14ac:dyDescent="0.2">
      <c r="B13" s="25" t="s">
        <v>404</v>
      </c>
      <c r="C13" s="35">
        <v>87.2</v>
      </c>
      <c r="D13" s="74" t="s">
        <v>472</v>
      </c>
    </row>
    <row r="14" spans="2:5" ht="7.5" customHeight="1" x14ac:dyDescent="0.2"/>
    <row r="15" spans="2:5" ht="16.5" customHeight="1" x14ac:dyDescent="0.2">
      <c r="B15" s="9" t="s">
        <v>473</v>
      </c>
      <c r="C15" s="9"/>
      <c r="D15" s="9"/>
      <c r="E15" s="9"/>
    </row>
    <row r="16" spans="2:5" ht="21.75" customHeight="1" x14ac:dyDescent="0.2">
      <c r="B16" s="69" t="s">
        <v>474</v>
      </c>
      <c r="C16" s="3" t="s">
        <v>475</v>
      </c>
      <c r="D16" s="3"/>
      <c r="E16" s="3"/>
    </row>
    <row r="17" spans="2:5" ht="21.75" customHeight="1" x14ac:dyDescent="0.2">
      <c r="B17" s="69" t="s">
        <v>476</v>
      </c>
      <c r="C17" s="3" t="s">
        <v>477</v>
      </c>
      <c r="D17" s="3"/>
      <c r="E17" s="3"/>
    </row>
    <row r="18" spans="2:5" ht="21.75" customHeight="1" x14ac:dyDescent="0.2">
      <c r="B18" s="69" t="s">
        <v>478</v>
      </c>
      <c r="C18" s="3" t="s">
        <v>479</v>
      </c>
      <c r="D18" s="3"/>
      <c r="E18" s="3"/>
    </row>
    <row r="19" spans="2:5" ht="21.75" customHeight="1" x14ac:dyDescent="0.2">
      <c r="B19" s="69" t="s">
        <v>480</v>
      </c>
      <c r="C19" s="3" t="s">
        <v>481</v>
      </c>
      <c r="D19" s="3"/>
      <c r="E19" s="3"/>
    </row>
    <row r="20" spans="2:5" ht="21.75" customHeight="1" x14ac:dyDescent="0.2">
      <c r="B20" s="69" t="s">
        <v>482</v>
      </c>
      <c r="C20" s="3" t="s">
        <v>483</v>
      </c>
      <c r="D20" s="3"/>
      <c r="E20" s="3"/>
    </row>
    <row r="21" spans="2:5" ht="7.5" customHeight="1" x14ac:dyDescent="0.2"/>
    <row r="22" spans="2:5" ht="16.5" customHeight="1" x14ac:dyDescent="0.2">
      <c r="B22" s="9" t="s">
        <v>484</v>
      </c>
      <c r="C22" s="9"/>
      <c r="D22" s="9"/>
      <c r="E22" s="9"/>
    </row>
    <row r="23" spans="2:5" ht="18" customHeight="1" x14ac:dyDescent="0.2">
      <c r="B23" s="21" t="s">
        <v>232</v>
      </c>
      <c r="C23" s="21" t="s">
        <v>485</v>
      </c>
      <c r="D23" s="21" t="s">
        <v>486</v>
      </c>
    </row>
    <row r="24" spans="2:5" ht="16.5" customHeight="1" x14ac:dyDescent="0.2">
      <c r="B24" s="22" t="s">
        <v>462</v>
      </c>
      <c r="C24" s="75">
        <v>22</v>
      </c>
      <c r="D24" s="76">
        <f t="shared" ref="D24:D29" si="0">D6-C6</f>
        <v>13</v>
      </c>
    </row>
    <row r="25" spans="2:5" ht="16.5" customHeight="1" x14ac:dyDescent="0.2">
      <c r="B25" s="22" t="s">
        <v>464</v>
      </c>
      <c r="C25" s="75">
        <v>38</v>
      </c>
      <c r="D25" s="76">
        <f t="shared" si="0"/>
        <v>7</v>
      </c>
    </row>
    <row r="26" spans="2:5" ht="16.5" customHeight="1" x14ac:dyDescent="0.2">
      <c r="B26" s="22" t="s">
        <v>466</v>
      </c>
      <c r="C26" s="75">
        <v>55</v>
      </c>
      <c r="D26" s="76">
        <f t="shared" si="0"/>
        <v>17</v>
      </c>
    </row>
    <row r="27" spans="2:5" ht="16.5" customHeight="1" x14ac:dyDescent="0.2">
      <c r="B27" s="22" t="s">
        <v>410</v>
      </c>
      <c r="C27" s="75">
        <v>38</v>
      </c>
      <c r="D27" s="76">
        <f t="shared" si="0"/>
        <v>20</v>
      </c>
    </row>
    <row r="28" spans="2:5" ht="16.5" customHeight="1" x14ac:dyDescent="0.2">
      <c r="B28" s="22" t="s">
        <v>413</v>
      </c>
      <c r="C28" s="75">
        <v>65</v>
      </c>
      <c r="D28" s="76">
        <f t="shared" si="0"/>
        <v>45</v>
      </c>
    </row>
    <row r="29" spans="2:5" ht="16.5" customHeight="1" x14ac:dyDescent="0.2">
      <c r="B29" s="22" t="s">
        <v>470</v>
      </c>
      <c r="C29" s="75">
        <v>56</v>
      </c>
      <c r="D29" s="76">
        <f t="shared" si="0"/>
        <v>43</v>
      </c>
    </row>
  </sheetData>
  <mergeCells count="10">
    <mergeCell ref="C17:E17"/>
    <mergeCell ref="C18:E18"/>
    <mergeCell ref="C19:E19"/>
    <mergeCell ref="C20:E20"/>
    <mergeCell ref="B22:E22"/>
    <mergeCell ref="B1:E1"/>
    <mergeCell ref="B2:E2"/>
    <mergeCell ref="B4:E4"/>
    <mergeCell ref="B15:E15"/>
    <mergeCell ref="C16:E16"/>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C19"/>
  <sheetViews>
    <sheetView showGridLines="0" zoomScaleNormal="100" workbookViewId="0">
      <selection activeCell="B5" sqref="B5:C6"/>
    </sheetView>
  </sheetViews>
  <sheetFormatPr baseColWidth="10" defaultColWidth="8.6640625" defaultRowHeight="15" x14ac:dyDescent="0.2"/>
  <cols>
    <col min="1" max="1" width="3" customWidth="1"/>
    <col min="2" max="2" width="38.1640625" customWidth="1"/>
    <col min="3" max="3" width="144" customWidth="1"/>
    <col min="4" max="4" width="3" customWidth="1"/>
  </cols>
  <sheetData>
    <row r="1" spans="2:3" ht="24" customHeight="1" x14ac:dyDescent="0.2">
      <c r="B1" s="10" t="s">
        <v>487</v>
      </c>
      <c r="C1" s="10"/>
    </row>
    <row r="2" spans="2:3" ht="16.5" customHeight="1" x14ac:dyDescent="0.2">
      <c r="B2" s="9" t="s">
        <v>488</v>
      </c>
      <c r="C2" s="9"/>
    </row>
    <row r="3" spans="2:3" ht="9.75" customHeight="1" x14ac:dyDescent="0.2"/>
    <row r="4" spans="2:3" ht="16.5" customHeight="1" x14ac:dyDescent="0.2">
      <c r="B4" s="9" t="s">
        <v>489</v>
      </c>
      <c r="C4" s="9"/>
    </row>
    <row r="5" spans="2:3" ht="64.5" customHeight="1" x14ac:dyDescent="0.2">
      <c r="B5" s="2" t="s">
        <v>490</v>
      </c>
      <c r="C5" s="2"/>
    </row>
    <row r="6" spans="2:3" ht="4.5" customHeight="1" x14ac:dyDescent="0.2">
      <c r="B6" s="2"/>
      <c r="C6" s="2"/>
    </row>
    <row r="7" spans="2:3" ht="7.5" customHeight="1" x14ac:dyDescent="0.2"/>
    <row r="8" spans="2:3" ht="16.5" customHeight="1" x14ac:dyDescent="0.2">
      <c r="B8" s="9" t="s">
        <v>491</v>
      </c>
      <c r="C8" s="9"/>
    </row>
    <row r="9" spans="2:3" ht="79.5" customHeight="1" x14ac:dyDescent="0.2">
      <c r="B9" s="69" t="s">
        <v>492</v>
      </c>
      <c r="C9" s="77" t="s">
        <v>493</v>
      </c>
    </row>
    <row r="10" spans="2:3" ht="79.5" customHeight="1" x14ac:dyDescent="0.2">
      <c r="B10" s="69" t="s">
        <v>494</v>
      </c>
      <c r="C10" s="77" t="s">
        <v>495</v>
      </c>
    </row>
    <row r="11" spans="2:3" ht="79.5" customHeight="1" x14ac:dyDescent="0.2">
      <c r="B11" s="69" t="s">
        <v>496</v>
      </c>
      <c r="C11" s="77" t="s">
        <v>497</v>
      </c>
    </row>
    <row r="12" spans="2:3" ht="7.5" customHeight="1" x14ac:dyDescent="0.2"/>
    <row r="13" spans="2:3" ht="16.5" customHeight="1" x14ac:dyDescent="0.2">
      <c r="B13" s="9" t="s">
        <v>498</v>
      </c>
      <c r="C13" s="9"/>
    </row>
    <row r="14" spans="2:3" ht="48" customHeight="1" x14ac:dyDescent="0.2">
      <c r="B14" s="68" t="s">
        <v>499</v>
      </c>
      <c r="C14" s="77" t="s">
        <v>500</v>
      </c>
    </row>
    <row r="15" spans="2:3" ht="48" customHeight="1" x14ac:dyDescent="0.2">
      <c r="B15" s="68" t="s">
        <v>501</v>
      </c>
      <c r="C15" s="77" t="s">
        <v>502</v>
      </c>
    </row>
    <row r="16" spans="2:3" ht="48" customHeight="1" x14ac:dyDescent="0.2">
      <c r="B16" s="68" t="s">
        <v>503</v>
      </c>
      <c r="C16" s="77" t="s">
        <v>504</v>
      </c>
    </row>
    <row r="17" spans="2:3" ht="7.5" customHeight="1" x14ac:dyDescent="0.2"/>
    <row r="18" spans="2:3" ht="16.5" customHeight="1" x14ac:dyDescent="0.2">
      <c r="B18" s="9" t="s">
        <v>505</v>
      </c>
      <c r="C18" s="9"/>
    </row>
    <row r="19" spans="2:3" ht="60" customHeight="1" x14ac:dyDescent="0.2">
      <c r="B19" s="1" t="s">
        <v>506</v>
      </c>
      <c r="C19" s="1"/>
    </row>
  </sheetData>
  <mergeCells count="8">
    <mergeCell ref="B13:C13"/>
    <mergeCell ref="B18:C18"/>
    <mergeCell ref="B19:C19"/>
    <mergeCell ref="B1:C1"/>
    <mergeCell ref="B2:C2"/>
    <mergeCell ref="B4:C4"/>
    <mergeCell ref="B5:C6"/>
    <mergeCell ref="B8:C8"/>
  </mergeCells>
  <pageMargins left="0.75" right="0.75" top="1" bottom="1" header="0.511811023622047" footer="0.511811023622047"/>
  <pageSetup paperSize="9" orientation="portrait" horizontalDpi="300" verticalDpi="300"/>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vt:lpstr>
      <vt:lpstr>Financials</vt:lpstr>
      <vt:lpstr>DCF Model</vt:lpstr>
      <vt:lpstr>Comps</vt:lpstr>
      <vt:lpstr>Precedent Tx</vt:lpstr>
      <vt:lpstr>M&amp;A Analysis</vt:lpstr>
      <vt:lpstr>Capital Structure</vt:lpstr>
      <vt:lpstr>Inv. Summary</vt:lpstr>
      <vt:lpstr>Sensitivity</vt:lpstr>
      <vt:lpstr>Football Field</vt:lpstr>
      <vt:lpstr>Inv. Thesis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Vatsal Chavda</dc:creator>
  <cp:keywords/>
  <dc:description/>
  <cp:lastModifiedBy>Vatsal Maheshbhai Chavda</cp:lastModifiedBy>
  <cp:revision>5</cp:revision>
  <dcterms:created xsi:type="dcterms:W3CDTF">2026-03-16T19:46:05Z</dcterms:created>
  <dcterms:modified xsi:type="dcterms:W3CDTF">2026-03-16T21:42:01Z</dcterms:modified>
  <cp:category/>
  <dc:language>en-US</dc:language>
</cp:coreProperties>
</file>